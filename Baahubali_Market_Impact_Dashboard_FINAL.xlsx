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6b5208484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Films" sheetId="1" r:id="Ref118f0eeb824a10"/>
    <x:sheet xmlns:r="http://schemas.openxmlformats.org/officeDocument/2006/relationships" name="Fact_Content" sheetId="2" r:id="R8cf20e979a7942dc"/>
    <x:sheet xmlns:r="http://schemas.openxmlformats.org/officeDocument/2006/relationships" name="Fact_Episodes" sheetId="3" r:id="R1ba00700a17c4aea"/>
    <x:sheet xmlns:r="http://schemas.openxmlformats.org/officeDocument/2006/relationships" name="Fact_MarketSplit" sheetId="4" r:id="R558b2ed0b1704397"/>
    <x:sheet xmlns:r="http://schemas.openxmlformats.org/officeDocument/2006/relationships" name="Fact_BB2_StateGross" sheetId="5" r:id="R7fc3d7af6d364117"/>
    <x:sheet xmlns:r="http://schemas.openxmlformats.org/officeDocument/2006/relationships" name="Fact_BuzzSignals" sheetId="6" r:id="Ra7563d6f535a4a7a"/>
    <x:sheet xmlns:r="http://schemas.openxmlformats.org/officeDocument/2006/relationships" name="Source_Register" sheetId="7" r:id="R10dd77ae425e4f99"/>
    <x:sheet xmlns:r="http://schemas.openxmlformats.org/officeDocument/2006/relationships" name="Data_Dictionary" sheetId="8" r:id="R91975d9bc19b4409"/>
    <x:sheet xmlns:r="http://schemas.openxmlformats.org/officeDocument/2006/relationships" name="SQL_BigQuery_Playbook" sheetId="9" r:id="R270df53edade436a"/>
    <x:sheet xmlns:r="http://schemas.openxmlformats.org/officeDocument/2006/relationships" name="DAX_Measures" sheetId="10" r:id="Rcb7586e2000a4c0d"/>
    <x:sheet xmlns:r="http://schemas.openxmlformats.org/officeDocument/2006/relationships" name="QA_Checks" sheetId="11" r:id="Rb9d50f1925b84c0a"/>
    <x:sheet xmlns:r="http://schemas.openxmlformats.org/officeDocument/2006/relationships" name="Dashboard" sheetId="12" r:id="R687428b0d8cf47fc"/>
    <x:sheet xmlns:r="http://schemas.openxmlformats.org/officeDocument/2006/relationships" name="PowerBI_Dashboard_Spec" sheetId="13" r:id="Rd3443f9b07ec4c69"/>
    <x:sheet xmlns:r="http://schemas.openxmlformats.org/officeDocument/2006/relationships" name="README_Project" sheetId="14" r:id="R1e8ad028233b4366"/>
    <x:sheet xmlns:r="http://schemas.openxmlformats.org/officeDocument/2006/relationships" name="Dashboard_Final" sheetId="15" r:id="R8afc418b0092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₹#,##0.00"/>
    <x:numFmt numFmtId="202" formatCode="0.00x"/>
    <x:numFmt numFmtId="203" formatCode="0.00%"/>
    <x:numFmt numFmtId="204" formatCode="0"/>
    <x:numFmt numFmtId="205" formatCode="0.0"/>
    <x:numFmt numFmtId="206" formatCode="₹#,##0.00 &quot;Cr&quot;"/>
    <x:numFmt numFmtId="207" formatCode="0.0 &quot;min&quot;"/>
    <x:numFmt numFmtId="208" formatCode="0.00"/>
    <x:numFmt numFmtId="209" formatCode="₹#,##0.00 Cr"/>
  </x:numFmts>
  <x:fonts count="22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5C542"/>
      <x:name val="Carlito"/>
    </x:font>
    <x:font>
      <x:i/>
      <x:sz val="12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4"/>
      <x:color rgb="FFF5C542"/>
      <x:name val="Carlito"/>
    </x:font>
    <x:font>
      <x:sz val="11"/>
      <x:color rgb="FF111827"/>
      <x:name val="Carlito"/>
    </x:font>
    <x:font>
      <x:b/>
      <x:sz val="11"/>
      <x:color rgb="FF9A3412"/>
      <x:name val="Carlito"/>
    </x:font>
    <x:font>
      <x:b/>
      <x:sz val="16"/>
      <x:color rgb="FFF5C542"/>
      <x:name val="Carlito"/>
    </x:font>
    <x:font>
      <x:b/>
      <x:sz val="18"/>
      <x:color rgb="FFFFD166"/>
      <x:name val="Carlito"/>
    </x:font>
    <x:font>
      <x:b/>
      <x:i/>
      <x:sz val="11"/>
      <x:color rgb="FFFFFFFF"/>
      <x:name val="Carlito"/>
    </x:font>
    <x:font>
      <x:b/>
      <x:sz val="14"/>
      <x:color rgb="FFFFFFFF"/>
      <x:name val="Carlito"/>
    </x:font>
    <x:font>
      <x:sz val="10"/>
      <x:color rgb="FF3B2F00"/>
      <x:name val="Carlito"/>
    </x:font>
    <x:font>
      <x:b/>
      <x:sz val="16"/>
      <x:color rgb="FFFFFFFF"/>
      <x:name val="Carlito"/>
    </x:font>
    <x:font>
      <x:b/>
      <x:sz val="9"/>
      <x:color rgb="FFFFFFFF"/>
      <x:name val="Carlito"/>
    </x:font>
    <x:font>
      <x:b/>
      <x:sz val="15"/>
      <x:color rgb="FF111827"/>
      <x:name val="Carlito"/>
    </x:font>
    <x:font>
      <x:sz val="8"/>
      <x:color rgb="FF374151"/>
      <x:name val="Carlito"/>
    </x:font>
    <x:font>
      <x:b/>
      <x:sz val="11"/>
      <x:color rgb="FFFFD166"/>
      <x:name val="Carlito"/>
    </x:font>
    <x:font>
      <x:sz val="10"/>
      <x:color rgb="FF111827"/>
      <x:name val="Carlito"/>
    </x:font>
    <x:font>
      <x:b/>
      <x:sz val="8"/>
      <x:color rgb="FF6B7280"/>
      <x:name val="Carlito"/>
    </x:font>
    <x:font>
      <x:sz val="8"/>
      <x:color rgb="FF6B728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F3A5F"/>
      </x:patternFill>
    </x:fill>
    <x:fill>
      <x:patternFill patternType="solid">
        <x:fgColor rgb="FFE8F1F8"/>
      </x:patternFill>
    </x:fill>
    <x:fill>
      <x:patternFill patternType="solid">
        <x:fgColor rgb="FFFFF3C4"/>
      </x:patternFill>
    </x:fill>
    <x:fill>
      <x:patternFill patternType="solid">
        <x:fgColor rgb="FFF3F4F6"/>
      </x:patternFill>
    </x:fill>
    <x:fill>
      <x:patternFill patternType="solid">
        <x:fgColor rgb="FFFFF7ED"/>
      </x:patternFill>
    </x:fill>
    <x:fill>
      <x:patternFill patternType="solid">
        <x:fgColor rgb="FF0B1F33"/>
      </x:patternFill>
    </x:fill>
    <x:fill>
      <x:patternFill patternType="solid">
        <x:fgColor rgb="FF071827"/>
      </x:patternFill>
    </x:fill>
    <x:fill>
      <x:patternFill patternType="solid">
        <x:fgColor rgb="FF102A43"/>
      </x:patternFill>
    </x:fill>
    <x:fill>
      <x:patternFill patternType="solid">
        <x:fgColor rgb="FFFEF3C7"/>
      </x:patternFill>
    </x:fill>
    <x:fill>
      <x:patternFill patternType="solid">
        <x:fgColor rgb="FF071B2C"/>
      </x:patternFill>
    </x:fill>
    <x:fill>
      <x:patternFill patternType="solid">
        <x:fgColor rgb="FF0B2D46"/>
      </x:patternFill>
    </x:fill>
    <x:fill>
      <x:patternFill patternType="solid">
        <x:fgColor rgb="FFFFF3C4"/>
      </x:patternFill>
    </x:fill>
    <x:fill>
      <x:patternFill patternType="solid">
        <x:fgColor rgb="FFFFF8D9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1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201" fontId="5" fillId="5" borderId="0" xfId="0" applyNumberFormat="1" applyFont="1" applyFill="1" applyBorder="1" applyAlignment="1">
      <x:alignment horizontal="center"/>
    </x:xf>
    <x:xf numFmtId="201" fontId="5" fillId="5" borderId="1" xfId="0" applyNumberFormat="1" applyFont="1" applyFill="1" applyBorder="1" applyAlignment="1">
      <x:alignment horizontal="center"/>
    </x:xf>
    <x:xf numFmtId="202" fontId="5" fillId="5" borderId="0" xfId="0" applyNumberFormat="1" applyFont="1" applyFill="1" applyBorder="1" applyAlignment="1">
      <x:alignment horizontal="center"/>
    </x:xf>
    <x:xf numFmtId="202" fontId="5" fillId="5" borderId="1" xfId="0" applyNumberFormat="1" applyFont="1" applyFill="1" applyBorder="1" applyAlignment="1">
      <x:alignment horizontal="center"/>
    </x:xf>
    <x:xf numFmtId="203" fontId="5" fillId="5" borderId="0" xfId="0" applyNumberFormat="1" applyFont="1" applyFill="1" applyBorder="1" applyAlignment="1">
      <x:alignment horizontal="center"/>
    </x:xf>
    <x:xf numFmtId="203" fontId="5" fillId="5" borderId="1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 applyAlignment="1">
      <x:alignment horizontal="center"/>
    </x:xf>
    <x:xf numFmtId="204" fontId="5" fillId="5" borderId="1" xfId="0" applyNumberFormat="1" applyFont="1" applyFill="1" applyBorder="1" applyAlignment="1">
      <x:alignment horizontal="center"/>
    </x:xf>
    <x:xf numFmtId="205" fontId="5" fillId="5" borderId="0" xfId="0" applyNumberFormat="1" applyFont="1" applyFill="1" applyBorder="1" applyAlignment="1">
      <x:alignment horizontal="center"/>
    </x:xf>
    <x:xf numFmtId="205" fontId="5" fillId="5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/>
    </x:xf>
    <x:xf numFmtId="206" fontId="5" fillId="5" borderId="0" xfId="0" applyNumberFormat="1" applyFont="1" applyFill="1" applyBorder="1" applyAlignment="1">
      <x:alignment horizontal="center"/>
    </x:xf>
    <x:xf numFmtId="207" fontId="5" fillId="5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206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horizontal="center" wrapText="1"/>
    </x:xf>
    <x:xf numFmtId="203" fontId="5" fillId="5" borderId="0" xfId="0" applyNumberFormat="1" applyFont="1" applyFill="1" applyBorder="1" applyAlignment="1">
      <x:alignment horizontal="center" wrapText="1"/>
    </x:xf>
    <x:xf numFmtId="204" fontId="5" fillId="5" borderId="0" xfId="0" applyNumberFormat="1" applyFont="1" applyFill="1" applyBorder="1" applyAlignment="1">
      <x:alignment horizontal="center" wrapText="1"/>
    </x:xf>
    <x:xf numFmtId="207" fontId="5" fillId="5" borderId="0" xfId="0" applyNumberFormat="1" applyFont="1" applyFill="1" applyBorder="1" applyAlignment="1">
      <x:alignment horizontal="center" wrapText="1"/>
    </x:xf>
    <x:xf numFmtId="205" fontId="5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6" fontId="5" fillId="5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horizontal="center" vertical="center" wrapText="1"/>
    </x:xf>
    <x:xf numFmtId="203" fontId="5" fillId="5" borderId="0" xfId="0" applyNumberFormat="1" applyFont="1" applyFill="1" applyBorder="1" applyAlignment="1">
      <x:alignment horizontal="center" vertical="center" wrapText="1"/>
    </x:xf>
    <x:xf numFmtId="204" fontId="5" fillId="5" borderId="0" xfId="0" applyNumberFormat="1" applyFont="1" applyFill="1" applyBorder="1" applyAlignment="1">
      <x:alignment horizontal="center" vertical="center" wrapText="1"/>
    </x:xf>
    <x:xf numFmtId="207" fontId="5" fillId="5" borderId="0" xfId="0" applyNumberFormat="1" applyFont="1" applyFill="1" applyBorder="1" applyAlignment="1">
      <x:alignment horizontal="center" vertical="center" wrapText="1"/>
    </x:xf>
    <x:xf numFmtId="205" fontId="5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horizont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206" fontId="4" fillId="5" borderId="0" xfId="0" applyNumberFormat="1" applyFont="1" applyFill="1" applyBorder="1" applyAlignment="1">
      <x:alignment horizontal="center" vertical="center" wrapText="1"/>
    </x:xf>
    <x:xf numFmtId="202" fontId="4" fillId="5" borderId="0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 applyAlignment="1">
      <x:alignment horizontal="center" vertical="center" wrapText="1"/>
    </x:xf>
    <x:xf numFmtId="204" fontId="4" fillId="5" borderId="0" xfId="0" applyNumberFormat="1" applyFont="1" applyFill="1" applyBorder="1" applyAlignment="1">
      <x:alignment horizontal="center" vertical="center" wrapText="1"/>
    </x:xf>
    <x:xf numFmtId="207" fontId="4" fillId="5" borderId="0" xfId="0" applyNumberFormat="1" applyFont="1" applyFill="1" applyBorder="1" applyAlignment="1">
      <x:alignment horizontal="center" vertical="center" wrapText="1"/>
    </x:xf>
    <x:xf numFmtId="205" fontId="4" fillId="5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10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horizont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17" fillId="15" borderId="0" xfId="0" applyNumberFormat="1" applyFont="1" applyFill="1" applyBorder="1" applyAlignment="1">
      <x:alignment horizontal="center" vertical="center" wrapText="1"/>
    </x:xf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horizontal="center"/>
    </x:xf>
    <x:xf numFmtId="0" fontId="18" fillId="12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208" fontId="7" fillId="17" borderId="0" xfId="0" applyNumberFormat="1" applyFont="1" applyFill="1" applyBorder="1" applyAlignment="1">
      <x:alignment vertical="center" wrapText="1"/>
    </x:xf>
    <x:xf numFmtId="202" fontId="7" fillId="17" borderId="0" xfId="0" applyNumberFormat="1" applyFont="1" applyFill="1" applyBorder="1" applyAlignment="1">
      <x:alignment vertical="center" wrapText="1"/>
    </x:xf>
    <x:xf numFmtId="209" fontId="7" fillId="17" borderId="0" xfId="0" applyNumberFormat="1" applyFont="1" applyFill="1" applyBorder="1" applyAlignment="1">
      <x:alignment vertical="center" wrapText="1"/>
    </x:xf>
    <x:xf numFmtId="203" fontId="7" fillId="17" borderId="0" xfId="0" applyNumberFormat="1" applyFont="1" applyFill="1" applyBorder="1" applyAlignment="1">
      <x:alignment vertical="center" wrapText="1"/>
    </x:xf>
    <x:xf numFmtId="204" fontId="7" fillId="17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 vertical="center" wrapText="1"/>
    </x:xf>
    <x:xf numFmtId="0" fontId="21" fillId="18" borderId="0" xfId="0" applyNumberFormat="1" applyFont="1" applyFill="1" applyBorder="1"/>
    <x:xf numFmtId="0" fontId="21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aa8368cac4d74" /><Relationship Type="http://schemas.openxmlformats.org/officeDocument/2006/relationships/theme" Target="/xl/theme/theme1.xml" Id="R308164b38fce4e7f" /><Relationship Type="http://schemas.openxmlformats.org/officeDocument/2006/relationships/sharedStrings" Target="/xl/sharedStrings.xml" Id="Rf28b1b7016174ba3" /><Relationship Type="http://schemas.openxmlformats.org/officeDocument/2006/relationships/worksheet" Target="/xl/worksheets/sheet1.xml" Id="Ref118f0eeb824a10" /><Relationship Type="http://schemas.openxmlformats.org/officeDocument/2006/relationships/worksheet" Target="/xl/worksheets/sheet2.xml" Id="R8cf20e979a7942dc" /><Relationship Type="http://schemas.openxmlformats.org/officeDocument/2006/relationships/worksheet" Target="/xl/worksheets/sheet3.xml" Id="R1ba00700a17c4aea" /><Relationship Type="http://schemas.openxmlformats.org/officeDocument/2006/relationships/worksheet" Target="/xl/worksheets/sheet4.xml" Id="R558b2ed0b1704397" /><Relationship Type="http://schemas.openxmlformats.org/officeDocument/2006/relationships/worksheet" Target="/xl/worksheets/sheet5.xml" Id="R7fc3d7af6d364117" /><Relationship Type="http://schemas.openxmlformats.org/officeDocument/2006/relationships/worksheet" Target="/xl/worksheets/sheet6.xml" Id="Ra7563d6f535a4a7a" /><Relationship Type="http://schemas.openxmlformats.org/officeDocument/2006/relationships/worksheet" Target="/xl/worksheets/sheet7.xml" Id="R10dd77ae425e4f99" /><Relationship Type="http://schemas.openxmlformats.org/officeDocument/2006/relationships/worksheet" Target="/xl/worksheets/sheet8.xml" Id="R91975d9bc19b4409" /><Relationship Type="http://schemas.openxmlformats.org/officeDocument/2006/relationships/worksheet" Target="/xl/worksheets/sheet9.xml" Id="R270df53edade436a" /><Relationship Type="http://schemas.openxmlformats.org/officeDocument/2006/relationships/worksheet" Target="/xl/worksheets/sheet10.xml" Id="Rcb7586e2000a4c0d" /><Relationship Type="http://schemas.openxmlformats.org/officeDocument/2006/relationships/worksheet" Target="/xl/worksheets/sheet11.xml" Id="Rb9d50f1925b84c0a" /><Relationship Type="http://schemas.openxmlformats.org/officeDocument/2006/relationships/worksheet" Target="/xl/worksheets/sheet12.xml" Id="R687428b0d8cf47fc" /><Relationship Type="http://schemas.openxmlformats.org/officeDocument/2006/relationships/worksheet" Target="/xl/worksheets/sheet13.xml" Id="Rd3443f9b07ec4c69" /><Relationship Type="http://schemas.openxmlformats.org/officeDocument/2006/relationships/worksheet" Target="/xl/worksheets/sheet14.xml" Id="R1e8ad028233b4366" /><Relationship Type="http://schemas.openxmlformats.org/officeDocument/2006/relationships/worksheet" Target="/xl/worksheets/sheet15.xml" Id="R8afc418b009248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bf76602a3e4fb2" /><Relationship Type="http://schemas.openxmlformats.org/officeDocument/2006/relationships/chart" Target="/xl/drawings/charts/chart2.xml" Id="Rc501a675a31d49bb" /><Relationship Type="http://schemas.openxmlformats.org/officeDocument/2006/relationships/chart" Target="/xl/drawings/charts/chart3.xml" Id="Rb5adda90acd34e36" /><Relationship Type="http://schemas.openxmlformats.org/officeDocument/2006/relationships/chart" Target="/xl/drawings/charts/chart4.xml" Id="R5444db6238914d5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41d70167cce429f" /><Relationship Type="http://schemas.openxmlformats.org/officeDocument/2006/relationships/chart" Target="/xl/drawings/charts/chart6.xml" Id="R4ef3f450bba840dd" /><Relationship Type="http://schemas.openxmlformats.org/officeDocument/2006/relationships/chart" Target="/xl/drawings/charts/chart7.xml" Id="R9899e6be38224b7f" /><Relationship Type="http://schemas.openxmlformats.org/officeDocument/2006/relationships/chart" Target="/xl/drawings/charts/chart8.xml" Id="R361e5dafa3d74b8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Budget Cr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'Dashboard'!$B$16:$B$18</c:f>
              <c:numCache>
                <c:formatCode>₹#,##0.00</c:formatCode>
                <c:ptCount val="0"/>
              </c:numCache>
            </c:numRef>
          </c:val>
        </c:ser>
        <c:ser>
          <c:idx val="1"/>
          <c:order val="1"/>
          <c:tx>
            <c:v>Worldwide Gross Cr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'Dashboard'!$C$16:$C$18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₹ Crore</a:t>
                </a:r>
              </a:p>
            </c:rich>
          </c:tx>
          <c:overlay val="0"/>
        </c:title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India Gross Cr</c:v>
          </c:tx>
          <c:cat>
            <c:strRef>
              <c:f>'Dashboard'!$E$16:$E$18</c:f>
              <c:strCache>
                <c:ptCount val="0"/>
              </c:strCache>
            </c:strRef>
          </c:cat>
          <c:val>
            <c:numRef>
              <c:f>'Dashboard'!$F$16:$F$18</c:f>
              <c:numCache>
                <c:formatCode>₹#,##0.00</c:formatCode>
                <c:ptCount val="0"/>
              </c:numCache>
            </c:numRef>
          </c:val>
        </c:ser>
        <c:ser>
          <c:idx val="1"/>
          <c:order val="1"/>
          <c:tx>
            <c:v>Overseas Gross Cr</c:v>
          </c:tx>
          <c:cat>
            <c:strRef>
              <c:f>'Dashboard'!$E$16:$E$18</c:f>
              <c:strCache>
                <c:ptCount val="0"/>
              </c:strCache>
            </c:strRef>
          </c:cat>
          <c:val>
            <c:numRef>
              <c:f>'Dashboard'!$G$16:$G$18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₹ Crore</a:t>
                </a:r>
              </a:p>
            </c:rich>
          </c:tx>
          <c:overlay val="0"/>
        </c:title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BB2 First 5 Days Gross Cr</c:v>
          </c:tx>
          <c:cat>
            <c:strRef>
              <c:f>'Dashboard'!$A$23:$A$27</c:f>
              <c:strCache>
                <c:ptCount val="0"/>
              </c:strCache>
            </c:strRef>
          </c:cat>
          <c:val>
            <c:numRef>
              <c:f>'Dashboard'!$B$23:$B$27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Torchbearer Episode Runtime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Runtime Min</c:v>
          </c:tx>
          <c:cat>
            <c:strRef>
              <c:f>'Dashboard'!$I$16:$I$19</c:f>
              <c:strCache>
                <c:ptCount val="0"/>
              </c:strCache>
            </c:strRef>
          </c:cat>
          <c:val>
            <c:numRef>
              <c:f>'Dashboard'!$J$16:$J$19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Budget (₹ Cr)</c:v>
          </c:tx>
          <c:cat>
            <c:strRef>
              <c:f>'Dashboard_Final'!$P$2:$P$4</c:f>
              <c:strCache>
                <c:ptCount val="0"/>
              </c:strCache>
            </c:strRef>
          </c:cat>
          <c:val>
            <c:numRef>
              <c:f>'Dashboard_Final'!$Q$2:$Q$4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Worldwide Gross (₹ Cr)</c:v>
          </c:tx>
          <c:cat>
            <c:strRef>
              <c:f>'Dashboard_Final'!$P$2:$P$4</c:f>
              <c:strCache>
                <c:ptCount val="0"/>
              </c:strCache>
            </c:strRef>
          </c:cat>
          <c:val>
            <c:numRef>
              <c:f>'Dashboard_Final'!$R$2:$R$4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India Gross (₹ Cr)</c:v>
          </c:tx>
          <c:cat>
            <c:strRef>
              <c:f>'Dashboard_Final'!$P$2:$P$4</c:f>
              <c:strCache>
                <c:ptCount val="0"/>
              </c:strCache>
            </c:strRef>
          </c:cat>
          <c:val>
            <c:numRef>
              <c:f>'Dashboard_Final'!$S$2:$S$4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Overseas Gross (₹ Cr)</c:v>
          </c:tx>
          <c:cat>
            <c:strRef>
              <c:f>'Dashboard_Final'!$P$2:$P$4</c:f>
              <c:strCache>
                <c:ptCount val="0"/>
              </c:strCache>
            </c:strRef>
          </c:cat>
          <c:val>
            <c:numRef>
              <c:f>'Dashboard_Final'!$T$2:$T$4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Domestic Nett (₹ Cr)</c:v>
          </c:tx>
          <c:cat>
            <c:strRef>
              <c:f>'Dashboard_Final'!$P$8:$P$13</c:f>
              <c:strCache>
                <c:ptCount val="0"/>
              </c:strCache>
            </c:strRef>
          </c:cat>
          <c:val>
            <c:numRef>
              <c:f>'Dashboard_Final'!$Q$8:$Q$13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Proxy Score</c:v>
          </c:tx>
          <c:cat>
            <c:strRef>
              <c:f>'Dashboard_Final'!$S$8:$S$11</c:f>
              <c:strCache>
                <c:ptCount val="0"/>
              </c:strCache>
            </c:strRef>
          </c:cat>
          <c:val>
            <c:numRef>
              <c:f>'Dashboard_Final'!$T$8:$T$11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5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bf76602a3e4fb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11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01a675a31d49bb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5</xdr:col>
      <xdr:colOff>0</xdr:colOff>
      <xdr:row>67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adda90acd34e36"/>
        </a:graphicData>
      </a:graphic>
    </xdr:graphicFrame>
    <xdr:clientData/>
  </xdr:twoCellAnchor>
  <xdr:twoCellAnchor>
    <xdr:from>
      <xdr:col>5</xdr:col>
      <xdr:colOff>0</xdr:colOff>
      <xdr:row>50</xdr:row>
      <xdr:rowOff>0</xdr:rowOff>
    </xdr:from>
    <xdr:to>
      <xdr:col>11</xdr:col>
      <xdr:colOff>0</xdr:colOff>
      <xdr:row>67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44db6238914d5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1d70167cce429f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f3f450bba840dd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99e6be38224b7f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1e5dafa3d74b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Films" displayName="FactFilms" ref="A1:R4" headerRowCount="1">
  <x:tableColumns count="18">
    <x:tableColumn id="1" name="film_id"/>
    <x:tableColumn id="2" name="title"/>
    <x:tableColumn id="3" name="content_type"/>
    <x:tableColumn id="4" name="release_date"/>
    <x:tableColumn id="5" name="release_year"/>
    <x:tableColumn id="6" name="platform"/>
    <x:tableColumn id="7" name="director"/>
    <x:tableColumn id="8" name="production_company"/>
    <x:tableColumn id="9" name="budget_cr"/>
    <x:tableColumn id="10" name="india_gross_cr"/>
    <x:tableColumn id="11" name="overseas_gross_cr"/>
    <x:tableColumn id="12" name="worldwide_gross_cr"/>
    <x:tableColumn id="13" name="roi_multiple"/>
    <x:tableColumn id="14" name="india_share"/>
    <x:tableColumn id="15" name="overseas_share"/>
    <x:tableColumn id="16" name="box_office_verdict"/>
    <x:tableColumn id="17" name="primary_source"/>
    <x:tableColumn id="18" name="data_quality_note"/>
  </x:tableColumns>
  <x:tableStyleInfo name="TableStyleMedium2" showRowStripes="1"/>
</x:table>
</file>

<file path=xl/tables/table2.xml><?xml version="1.0" encoding="utf-8"?>
<x:table xmlns:x="http://schemas.openxmlformats.org/spreadsheetml/2006/main" id="2" name="FactContent" displayName="FactContent" ref="A1:L2" headerRowCount="1">
  <x:tableColumns count="12">
    <x:tableColumn id="1" name="content_id"/>
    <x:tableColumn id="2" name="title"/>
    <x:tableColumn id="3" name="content_type"/>
    <x:tableColumn id="4" name="platform"/>
    <x:tableColumn id="5" name="release_date"/>
    <x:tableColumn id="6" name="episodes"/>
    <x:tableColumn id="7" name="rating"/>
    <x:tableColumn id="8" name="genre"/>
    <x:tableColumn id="9" name="starring"/>
    <x:tableColumn id="10" name="official_description"/>
    <x:tableColumn id="11" name="source_url"/>
    <x:tableColumn id="12" name="data_quality_note"/>
  </x:tableColumns>
  <x:tableStyleInfo name="TableStyleMedium2" showRowStripes="1"/>
</x:table>
</file>

<file path=xl/tables/table3.xml><?xml version="1.0" encoding="utf-8"?>
<x:table xmlns:x="http://schemas.openxmlformats.org/spreadsheetml/2006/main" id="3" name="FactEpisodes" displayName="FactEpisodes" ref="A1:E5" headerRowCount="1">
  <x:tableColumns count="5">
    <x:tableColumn id="1" name="episode_no"/>
    <x:tableColumn id="2" name="episode_title"/>
    <x:tableColumn id="3" name="runtime_min"/>
    <x:tableColumn id="4" name="episode_description"/>
    <x:tableColumn id="5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FactMarketSplit" displayName="FactMarketSplit" ref="A1:G7" headerRowCount="1">
  <x:tableColumns count="7">
    <x:tableColumn id="1" name="film_id"/>
    <x:tableColumn id="2" name="title"/>
    <x:tableColumn id="3" name="market"/>
    <x:tableColumn id="4" name="india_gross_cr"/>
    <x:tableColumn id="5" name="overseas_gross_cr"/>
    <x:tableColumn id="6" name="worldwide_gross_cr"/>
    <x:tableColumn id="7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5" name="FactBB2StateGross" displayName="FactBB2StateGross" ref="A1:H7" headerRowCount="1">
  <x:tableColumns count="8">
    <x:tableColumn id="1" name="day"/>
    <x:tableColumn id="2" name="karnataka_cr"/>
    <x:tableColumn id="3" name="ap_telangana_cr"/>
    <x:tableColumn id="4" name="tamil_nadu_cr"/>
    <x:tableColumn id="5" name="kerala_cr"/>
    <x:tableColumn id="6" name="rest_of_india_cr"/>
    <x:tableColumn id="7" name="day_total_cr"/>
    <x:tableColumn id="8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FactBuzzSignals" displayName="FactBuzzSignals" ref="A1:H5" headerRowCount="1">
  <x:tableColumns count="8">
    <x:tableColumn id="1" name="signal_id"/>
    <x:tableColumn id="2" name="date"/>
    <x:tableColumn id="3" name="signal_type"/>
    <x:tableColumn id="4" name="evidence_summary"/>
    <x:tableColumn id="5" name="analyst_score_0_100"/>
    <x:tableColumn id="6" name="confidence"/>
    <x:tableColumn id="7" name="source_url"/>
    <x:tableColumn id="8" name="data_quality_note"/>
  </x:tableColumns>
  <x:tableStyleInfo name="TableStyleMedium2" showRowStripes="1"/>
</x:table>
</file>

<file path=xl/tables/table7.xml><?xml version="1.0" encoding="utf-8"?>
<x:table xmlns:x="http://schemas.openxmlformats.org/spreadsheetml/2006/main" id="7" name="SourceRegister" displayName="SourceRegister" ref="A1:F11" headerRowCount="1">
  <x:tableColumns count="6">
    <x:tableColumn id="1" name="source_id"/>
    <x:tableColumn id="2" name="source_name"/>
    <x:tableColumn id="3" name="url"/>
    <x:tableColumn id="4" name="what_used"/>
    <x:tableColumn id="5" name="retrieved_context"/>
    <x:tableColumn id="6" name="reliability_note"/>
  </x:tableColumns>
  <x:tableStyleInfo name="TableStyleMedium2" showRowStripes="1"/>
</x:table>
</file>

<file path=xl/tables/table8.xml><?xml version="1.0" encoding="utf-8"?>
<x:table xmlns:x="http://schemas.openxmlformats.org/spreadsheetml/2006/main" id="8" name="DataDictionary" displayName="DataDictionary" ref="A1:E9" headerRowCount="1">
  <x:tableColumns count="5">
    <x:tableColumn id="1" name="table"/>
    <x:tableColumn id="2" name="column"/>
    <x:tableColumn id="3" name="definition"/>
    <x:tableColumn id="4" name="calculation_or_source"/>
    <x:tableColumn id="5" name="business_use"/>
  </x:tableColumns>
  <x:tableStyleInfo name="TableStyleMedium2" showRowStripes="1"/>
</x:table>
</file>

<file path=xl/tables/table9.xml><?xml version="1.0" encoding="utf-8"?>
<x:table xmlns:x="http://schemas.openxmlformats.org/spreadsheetml/2006/main" id="9" name="SQLPlaybook" displayName="SQLPlaybook" ref="A1:D5" headerRowCount="1">
  <x:tableColumns count="4">
    <x:tableColumn id="1" name="query_name"/>
    <x:tableColumn id="2" name="use_case"/>
    <x:tableColumn id="3" name="standard_sql_or_bigquery"/>
    <x:tableColumn id="4" name="sql"/>
  </x:tableColumns>
  <x:tableStyleInfo name="TableStyleMedium2" showRowStripes="1"/>
</x:table>
</file>

<file path=xl/tables/table10.xml><?xml version="1.0" encoding="utf-8"?>
<x:table xmlns:x="http://schemas.openxmlformats.org/spreadsheetml/2006/main" id="10" name="DAXMeasures" displayName="DAXMeasures" ref="A1:B10" headerRowCount="1">
  <x:tableColumns count="2">
    <x:tableColumn id="1" name="measure_name"/>
    <x:tableColumn id="2" name="dax"/>
  </x:tableColumns>
  <x:tableStyleInfo name="TableStyleMedium2" showRowStripes="1"/>
</x:table>
</file>

<file path=xl/tables/table11.xml><?xml version="1.0" encoding="utf-8"?>
<x:table xmlns:x="http://schemas.openxmlformats.org/spreadsheetml/2006/main" id="11" name="QAChecks" displayName="QAChecks" ref="A1:E7" headerRowCount="1">
  <x:tableColumns count="5">
    <x:tableColumn id="1" name="check_id"/>
    <x:tableColumn id="2" name="check_name"/>
    <x:tableColumn id="3" name="formula_or_test"/>
    <x:tableColumn id="4" name="expected_result"/>
    <x:tableColumn id="5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PowerBISpec" displayName="PowerBISpec" ref="A1:F7" headerRowCount="1">
  <x:tableColumns count="6">
    <x:tableColumn id="1" name="page"/>
    <x:tableColumn id="2" name="visual"/>
    <x:tableColumn id="3" name="purpose"/>
    <x:tableColumn id="4" name="fields/measures"/>
    <x:tableColumn id="5" name="filters/slicer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977c262f0145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cb6cf2ffb8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c9857794df4a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2dc1cccb8a40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d24c13fb9445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d49b291d0d146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7486cd9bf44c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56ca6d69f3f48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589067acd504fd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c5c38a611c74e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f90cff67fcf4a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598fddc39d42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a6a29b8f9994ea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2.xml" Id="R6da2d998e06b45b6" /></Relationships>
</file>

<file path=xl/worksheets/sheet1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22" hidden="0" customWidth="1"/>
    <x:col min="7" max="7" width="20" hidden="0" customWidth="1"/>
    <x:col min="8" max="8" width="28" hidden="0" customWidth="1"/>
    <x:col min="17" max="17" width="44" hidden="0" customWidth="1"/>
    <x:col min="18" max="18" width="44" hidden="0" customWidth="1"/>
  </x:cols>
  <x:sheetData>
    <x:row r="1">
      <x:c r="A1" s="6" t="str">
        <x:v>film_id</x:v>
      </x:c>
      <x:c r="B1" s="6" t="str">
        <x:v>title</x:v>
      </x:c>
      <x:c r="C1" s="6" t="str">
        <x:v>content_type</x:v>
      </x:c>
      <x:c r="D1" s="6" t="str">
        <x:v>release_date</x:v>
      </x:c>
      <x:c r="E1" s="6" t="str">
        <x:v>release_year</x:v>
      </x:c>
      <x:c r="F1" s="6" t="str">
        <x:v>platform</x:v>
      </x:c>
      <x:c r="G1" s="6" t="str">
        <x:v>director</x:v>
      </x:c>
      <x:c r="H1" s="6" t="str">
        <x:v>production_company</x:v>
      </x:c>
      <x:c r="I1" s="6" t="str">
        <x:v>budget_cr</x:v>
      </x:c>
      <x:c r="J1" s="6" t="str">
        <x:v>india_gross_cr</x:v>
      </x:c>
      <x:c r="K1" s="6" t="str">
        <x:v>overseas_gross_cr</x:v>
      </x:c>
      <x:c r="L1" s="6" t="str">
        <x:v>worldwide_gross_cr</x:v>
      </x:c>
      <x:c r="M1" s="6" t="str">
        <x:v>roi_multiple</x:v>
      </x:c>
      <x:c r="N1" s="6" t="str">
        <x:v>india_share</x:v>
      </x:c>
      <x:c r="O1" s="6" t="str">
        <x:v>overseas_share</x:v>
      </x:c>
      <x:c r="P1" s="6" t="str">
        <x:v>box_office_verdict</x:v>
      </x:c>
      <x:c r="Q1" s="6" t="str">
        <x:v>primary_source</x:v>
      </x:c>
      <x:c r="R1" s="6" t="str">
        <x:v>data_quality_note</x:v>
      </x:c>
    </x:row>
    <x:row r="2">
      <x:c r="A2" s="12" t="str">
        <x:v>F001</x:v>
      </x:c>
      <x:c r="B2" s="12" t="str">
        <x:v>Baahubali: The Beginning</x:v>
      </x:c>
      <x:c r="C2" s="12" t="str">
        <x:v>Theatrical film</x:v>
      </x:c>
      <x:c r="D2" s="14" t="n">
        <x:v>42195</x:v>
      </x:c>
      <x:c r="E2" s="12" t="n">
        <x:v>2015</x:v>
      </x:c>
      <x:c r="F2" s="12" t="str">
        <x:v>Theatrical</x:v>
      </x:c>
      <x:c r="G2" s="12" t="str">
        <x:v>S. S. Rajamouli</x:v>
      </x:c>
      <x:c r="H2" s="12" t="str">
        <x:v>Arka Media Works / distributors vary</x:v>
      </x:c>
      <x:c r="I2" s="16" t="n">
        <x:v>180</x:v>
      </x:c>
      <x:c r="J2" s="16" t="n">
        <x:v>516</x:v>
      </x:c>
      <x:c r="K2" s="16" t="n">
        <x:v>134</x:v>
      </x:c>
      <x:c r="L2" s="16" t="n">
        <x:v>650</x:v>
      </x:c>
      <x:c r="M2" s="18" t="n">
        <x:f>IFERROR(L2/I2,"")</x:f>
        <x:v>3.611111111111111</x:v>
      </x:c>
      <x:c r="N2" s="20" t="n">
        <x:f>IFERROR(J2/L2,"")</x:f>
        <x:v>0.7938461538461539</x:v>
      </x:c>
      <x:c r="O2" s="20" t="n">
        <x:f>IFERROR(K2/L2,"")</x:f>
        <x:v>0.20615384615384616</x:v>
      </x:c>
      <x:c r="P2" s="12" t="str">
        <x:v>Blockbuster</x:v>
      </x:c>
      <x:c r="Q2" s="12" t="str">
        <x:v>https://www.sacnilk.com/movie/Baahubali_2015</x:v>
      </x:c>
      <x:c r="R2" s="12" t="str">
        <x:v>Source reports approximate figures; uses Sacnilk consistent crore values.</x:v>
      </x:c>
    </x:row>
    <x:row r="3">
      <x:c r="A3" s="12" t="str">
        <x:v>F002</x:v>
      </x:c>
      <x:c r="B3" s="12" t="str">
        <x:v>Baahubali 2: The Conclusion</x:v>
      </x:c>
      <x:c r="C3" s="12" t="str">
        <x:v>Theatrical film</x:v>
      </x:c>
      <x:c r="D3" s="14" t="n">
        <x:v>42853</x:v>
      </x:c>
      <x:c r="E3" s="12" t="n">
        <x:v>2017</x:v>
      </x:c>
      <x:c r="F3" s="12" t="str">
        <x:v>Theatrical</x:v>
      </x:c>
      <x:c r="G3" s="12" t="str">
        <x:v>S. S. Rajamouli</x:v>
      </x:c>
      <x:c r="H3" s="12" t="str">
        <x:v>Arka Media Works</x:v>
      </x:c>
      <x:c r="I3" s="16" t="n">
        <x:v>250</x:v>
      </x:c>
      <x:c r="J3" s="16" t="n">
        <x:v>1416.9</x:v>
      </x:c>
      <x:c r="K3" s="16" t="n">
        <x:v>371.16</x:v>
      </x:c>
      <x:c r="L3" s="16" t="n">
        <x:v>1788.06</x:v>
      </x:c>
      <x:c r="M3" s="18" t="n">
        <x:f>IFERROR(L3/I3,"")</x:f>
        <x:v>7.15224</x:v>
      </x:c>
      <x:c r="N3" s="20" t="n">
        <x:f>IFERROR(J3/L3,"")</x:f>
        <x:v>0.7924230730512399</x:v>
      </x:c>
      <x:c r="O3" s="20" t="n">
        <x:f>IFERROR(K3/L3,"")</x:f>
        <x:v>0.20757692694876012</x:v>
      </x:c>
      <x:c r="P3" s="12" t="str">
        <x:v>All Time Blockbuster</x:v>
      </x:c>
      <x:c r="Q3" s="12" t="str">
        <x:v>https://www.sacnilk.com/movieboxofficecomparison/Baahubali_2_The_Conclusion_vs_Gold_Box_Office_Collection</x:v>
      </x:c>
      <x:c r="R3" s="12" t="str">
        <x:v>Worldwide/India/overseas figures from Sacnilk comparison page; budget/screen count from Sacnilk collection page.</x:v>
      </x:c>
    </x:row>
    <x:row r="4">
      <x:c r="A4" s="12" t="str">
        <x:v>F003</x:v>
      </x:c>
      <x:c r="B4" s="12" t="str">
        <x:v>Baahubali: The Epic</x:v>
      </x:c>
      <x:c r="C4" s="12" t="str">
        <x:v>Re-release / one-cut version</x:v>
      </x:c>
      <x:c r="D4" s="14" t="n">
        <x:v>45961</x:v>
      </x:c>
      <x:c r="E4" s="12" t="n">
        <x:v>2025</x:v>
      </x:c>
      <x:c r="F4" s="12" t="str">
        <x:v>Theatrical re-release</x:v>
      </x:c>
      <x:c r="G4" s="12" t="str">
        <x:v>S. S. Rajamouli</x:v>
      </x:c>
      <x:c r="H4" s="12" t="str">
        <x:v>Arka Media Works</x:v>
      </x:c>
      <x:c r="I4" s="16"/>
      <x:c r="J4" s="16" t="n">
        <x:v>39.9</x:v>
      </x:c>
      <x:c r="K4" s="16" t="n">
        <x:v>12.25</x:v>
      </x:c>
      <x:c r="L4" s="16" t="n">
        <x:v>52.15</x:v>
      </x:c>
      <x:c r="M4" s="18" t="str">
        <x:f>IFERROR(L4/I4,"")</x:f>
      </x:c>
      <x:c r="N4" s="20" t="n">
        <x:f>IFERROR(J4/L4,"")</x:f>
        <x:v>0.7651006711409396</x:v>
      </x:c>
      <x:c r="O4" s="20" t="n">
        <x:f>IFERROR(K4/L4,"")</x:f>
        <x:v>0.2348993288590604</x:v>
      </x:c>
      <x:c r="P4" s="12" t="str">
        <x:v>Re-release milestone</x:v>
      </x:c>
      <x:c r="Q4" s="12" t="str">
        <x:v>https://www.sacnilk.com/news/Baahubali_The_Epic_2025_Box_Office_Collection_Day_Wise_Worldwide</x:v>
      </x:c>
      <x:c r="R4" s="12" t="str">
        <x:v>Re-release collection through published Sacnilk Day 41 article; budget not separately reported.</x:v>
      </x:c>
    </x:row>
  </x:sheetData>
  <x:conditionalFormatting sqref="M2:M4">
    <x:cfRule type="dataBar" priority="1">
      <x:dataBar>
        <x:cfvo type="min"/>
        <x:cfvo type="max"/>
        <x:color rgb="FFF5C542"/>
      </x:dataBar>
      <x:extLst>
        <x:ext xmlns:x14="http://schemas.microsoft.com/office/spreadsheetml/2009/9/main" uri="{B025F937-C7B1-47D3-B67F-A62EFF666E3E}">
          <x14:id>{590BFCAD-D771-DD0A-D861-805563B3FA31}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7977c262f0145d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90BFCAD-D771-DD0A-D861-805563B3FA31}">
            <x14:dataBar gradient="1">
              <x14:cfvo type="min"/>
              <x14:cfvo type="max"/>
              <x14:fillColor rgb="FFF5C542"/>
            </x14:dataBar>
          </x14:cfRule>
          <xm:sqref>M2:M4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2" max="2" width="30" hidden="0" customWidth="1"/>
    <x:col min="9" max="9" width="35" hidden="0" customWidth="1"/>
    <x:col min="10" max="10" width="70" hidden="0" customWidth="1"/>
    <x:col min="11" max="11" width="60" hidden="0" customWidth="1"/>
    <x:col min="12" max="12" width="50" hidden="0" customWidth="1"/>
  </x:cols>
  <x:sheetData>
    <x:row r="1">
      <x:c r="A1" s="6" t="str">
        <x:v>content_id</x:v>
      </x:c>
      <x:c r="B1" s="6" t="str">
        <x:v>title</x:v>
      </x:c>
      <x:c r="C1" s="6" t="str">
        <x:v>content_type</x:v>
      </x:c>
      <x:c r="D1" s="6" t="str">
        <x:v>platform</x:v>
      </x:c>
      <x:c r="E1" s="6" t="str">
        <x:v>release_date</x:v>
      </x:c>
      <x:c r="F1" s="6" t="str">
        <x:v>episodes</x:v>
      </x:c>
      <x:c r="G1" s="6" t="str">
        <x:v>rating</x:v>
      </x:c>
      <x:c r="H1" s="6" t="str">
        <x:v>genre</x:v>
      </x:c>
      <x:c r="I1" s="6" t="str">
        <x:v>starring</x:v>
      </x:c>
      <x:c r="J1" s="6" t="str">
        <x:v>official_description</x:v>
      </x:c>
      <x:c r="K1" s="6" t="str">
        <x:v>source_url</x:v>
      </x:c>
      <x:c r="L1" s="6" t="str">
        <x:v>data_quality_note</x:v>
      </x:c>
    </x:row>
    <x:row r="2">
      <x:c r="A2" s="12" t="str">
        <x:v>C001</x:v>
      </x:c>
      <x:c r="B2" s="12" t="str">
        <x:v>Bãhubali the Torch Bearer</x:v>
      </x:c>
      <x:c r="C2" s="12" t="str">
        <x:v>Documentary series</x:v>
      </x:c>
      <x:c r="D2" s="12" t="str">
        <x:v>Netflix</x:v>
      </x:c>
      <x:c r="E2" s="14" t="n">
        <x:v>46199</x:v>
      </x:c>
      <x:c r="F2" s="12" t="n">
        <x:v>4</x:v>
      </x:c>
      <x:c r="G2" s="12" t="str">
        <x:v>TV-PG</x:v>
      </x:c>
      <x:c r="H2" s="12" t="str">
        <x:v>Documentary</x:v>
      </x:c>
      <x:c r="I2" s="12" t="str">
        <x:v>S.S. Rajamouli; Prabhas; Rana Daggubati</x:v>
      </x:c>
      <x:c r="J2" s="12" t="str">
        <x:v>From production setbacks to financial crises, the "Baahubali" cast and crew recount the demanding journey behind the beloved epic film series.</x:v>
      </x:c>
      <x:c r="K2" s="12" t="str">
        <x:v>https://www.netflix.com/title/82821951</x:v>
      </x:c>
      <x:c r="L2" s="12" t="str">
        <x:v>Netflix title page used for episode count, rating, genre, cast and description; release date supported by India Today/ET.</x:v>
      </x:c>
    </x:row>
  </x:sheetData>
  <x:pageMargins left="0.7" right="0.7" top="0.75" bottom="0.75" header="0.3" footer="0.3"/>
  <x:tableParts count="1">
    <x:tablePart xmlns:r="http://schemas.openxmlformats.org/officeDocument/2006/relationships" r:id="R6bcb6cf2ffb8489b"/>
  </x:tableParts>
</x:worksheet>
</file>

<file path=xl/worksheets/sheet3.xml><?xml version="1.0" encoding="utf-8"?>
<x:worksheet xmlns:x="http://schemas.openxmlformats.org/spreadsheetml/2006/main">
  <x:sheetFormatPr defaultRowHeight="15"/>
  <x:cols>
    <x:col min="2" max="2" width="22" hidden="0" customWidth="1"/>
    <x:col min="4" max="4" width="70" hidden="0" customWidth="1"/>
    <x:col min="5" max="5" width="60" hidden="0" customWidth="1"/>
  </x:cols>
  <x:sheetData>
    <x:row r="1">
      <x:c r="A1" s="6" t="str">
        <x:v>episode_no</x:v>
      </x:c>
      <x:c r="B1" s="6" t="str">
        <x:v>episode_title</x:v>
      </x:c>
      <x:c r="C1" s="6" t="str">
        <x:v>runtime_min</x:v>
      </x:c>
      <x:c r="D1" s="6" t="str">
        <x:v>episode_description</x:v>
      </x:c>
      <x:c r="E1" s="6" t="str">
        <x:v>source_url</x:v>
      </x:c>
    </x:row>
    <x:row r="2">
      <x:c r="A2" s="12" t="n">
        <x:v>1</x:v>
      </x:c>
      <x:c r="B2" s="12" t="str">
        <x:v>The Dream</x:v>
      </x:c>
      <x:c r="C2" s="12" t="n">
        <x:v>29</x:v>
      </x:c>
      <x:c r="D2" s="12" t="str">
        <x:v>The team behind the franchise revisit the uncertain beginnings of the epic that started as a risky creative venture.</x:v>
      </x:c>
      <x:c r="E2" s="12" t="str">
        <x:v>https://www.netflix.com/title/82821951</x:v>
      </x:c>
    </x:row>
    <x:row r="3">
      <x:c r="A3" s="12" t="n">
        <x:v>2</x:v>
      </x:c>
      <x:c r="B3" s="12" t="str">
        <x:v>Building the Dream</x:v>
      </x:c>
      <x:c r="C3" s="12" t="n">
        <x:v>38</x:v>
      </x:c>
      <x:c r="D3" s="12" t="str">
        <x:v>The cast and crew face financial obstacles and grueling shoots that threaten the production.</x:v>
      </x:c>
      <x:c r="E3" s="12" t="str">
        <x:v>https://www.netflix.com/title/82821951</x:v>
      </x:c>
    </x:row>
    <x:row r="4">
      <x:c r="A4" s="12" t="n">
        <x:v>3</x:v>
      </x:c>
      <x:c r="B4" s="12" t="str">
        <x:v>Beyond Dreams</x:v>
      </x:c>
      <x:c r="C4" s="12" t="n">
        <x:v>23</x:v>
      </x:c>
      <x:c r="D4" s="12" t="str">
        <x:v>The first film becomes a national phenomenon and the sequel builds the success.</x:v>
      </x:c>
      <x:c r="E4" s="12" t="str">
        <x:v>https://www.netflix.com/title/82821951</x:v>
      </x:c>
    </x:row>
    <x:row r="5">
      <x:c r="A5" s="12" t="n">
        <x:v>4</x:v>
      </x:c>
      <x:c r="B5" s="12" t="str">
        <x:v>The Torchbearer</x:v>
      </x:c>
      <x:c r="C5" s="12" t="n">
        <x:v>33</x:v>
      </x:c>
      <x:c r="D5" s="12" t="str">
        <x:v>The makers look back on Baahubali 2's impact and how its success changed their lives and careers.</x:v>
      </x:c>
      <x:c r="E5" s="12" t="str">
        <x:v>https://www.netflix.com/title/82821951</x:v>
      </x:c>
    </x:row>
  </x:sheetData>
  <x:pageMargins left="0.7" right="0.7" top="0.75" bottom="0.75" header="0.3" footer="0.3"/>
  <x:tableParts count="1">
    <x:tablePart xmlns:r="http://schemas.openxmlformats.org/officeDocument/2006/relationships" r:id="R5cc9857794df4a4b"/>
  </x:tableParts>
</x:worksheet>
</file>

<file path=xl/worksheets/sheet4.xml><?xml version="1.0" encoding="utf-8"?>
<x:worksheet xmlns:x="http://schemas.openxmlformats.org/spreadsheetml/2006/main">
  <x:sheetFormatPr defaultRowHeight="15"/>
  <x:cols>
    <x:col min="2" max="2" width="30" hidden="0" customWidth="1"/>
    <x:col min="3" max="3" width="15" hidden="0" customWidth="1"/>
    <x:col min="7" max="7" width="60" hidden="0" customWidth="1"/>
  </x:cols>
  <x:sheetData>
    <x:row r="1">
      <x:c r="A1" s="6" t="str">
        <x:v>film_id</x:v>
      </x:c>
      <x:c r="B1" s="6" t="str">
        <x:v>title</x:v>
      </x:c>
      <x:c r="C1" s="6" t="str">
        <x:v>market</x:v>
      </x:c>
      <x:c r="D1" s="6" t="str">
        <x:v>india_gross_cr</x:v>
      </x:c>
      <x:c r="E1" s="6" t="str">
        <x:v>overseas_gross_cr</x:v>
      </x:c>
      <x:c r="F1" s="6" t="str">
        <x:v>worldwide_gross_cr</x:v>
      </x:c>
      <x:c r="G1" s="6" t="str">
        <x:v>source_url</x:v>
      </x:c>
    </x:row>
    <x:row r="2">
      <x:c r="A2" s="12" t="str">
        <x:v>F001</x:v>
      </x:c>
      <x:c r="B2" s="12" t="str">
        <x:v>Baahubali: The Beginning</x:v>
      </x:c>
      <x:c r="C2" s="12" t="str">
        <x:v>India</x:v>
      </x:c>
      <x:c r="D2" s="16" t="n">
        <x:v>516</x:v>
      </x:c>
      <x:c r="E2" s="16"/>
      <x:c r="F2" s="16"/>
      <x:c r="G2" s="12" t="str">
        <x:v>https://www.sacnilk.com/movie/Baahubali_2015</x:v>
      </x:c>
    </x:row>
    <x:row r="3">
      <x:c r="A3" s="12" t="str">
        <x:v>F001</x:v>
      </x:c>
      <x:c r="B3" s="12" t="str">
        <x:v>Baahubali: The Beginning</x:v>
      </x:c>
      <x:c r="C3" s="12" t="str">
        <x:v>Overseas</x:v>
      </x:c>
      <x:c r="D3" s="16"/>
      <x:c r="E3" s="16" t="n">
        <x:v>134</x:v>
      </x:c>
      <x:c r="F3" s="16"/>
      <x:c r="G3" s="12" t="str">
        <x:v>https://www.sacnilk.com/movie/Baahubali_2015</x:v>
      </x:c>
    </x:row>
    <x:row r="4">
      <x:c r="A4" s="12" t="str">
        <x:v>F002</x:v>
      </x:c>
      <x:c r="B4" s="12" t="str">
        <x:v>Baahubali 2: The Conclusion</x:v>
      </x:c>
      <x:c r="C4" s="12" t="str">
        <x:v>India</x:v>
      </x:c>
      <x:c r="D4" s="16" t="n">
        <x:v>1416.9</x:v>
      </x:c>
      <x:c r="E4" s="16"/>
      <x:c r="F4" s="16"/>
      <x:c r="G4" s="12" t="str">
        <x:v>https://www.sacnilk.com/movieboxofficecomparison/Baahubali_2_The_Conclusion_vs_Gold_Box_Office_Collection</x:v>
      </x:c>
    </x:row>
    <x:row r="5">
      <x:c r="A5" s="12" t="str">
        <x:v>F002</x:v>
      </x:c>
      <x:c r="B5" s="12" t="str">
        <x:v>Baahubali 2: The Conclusion</x:v>
      </x:c>
      <x:c r="C5" s="12" t="str">
        <x:v>Overseas</x:v>
      </x:c>
      <x:c r="D5" s="16"/>
      <x:c r="E5" s="16" t="n">
        <x:v>371.16</x:v>
      </x:c>
      <x:c r="F5" s="16"/>
      <x:c r="G5" s="12" t="str">
        <x:v>https://www.sacnilk.com/movieboxofficecomparison/Baahubali_2_The_Conclusion_vs_Gold_Box_Office_Collection</x:v>
      </x:c>
    </x:row>
    <x:row r="6">
      <x:c r="A6" s="12" t="str">
        <x:v>F003</x:v>
      </x:c>
      <x:c r="B6" s="12" t="str">
        <x:v>Baahubali: The Epic</x:v>
      </x:c>
      <x:c r="C6" s="12" t="str">
        <x:v>India</x:v>
      </x:c>
      <x:c r="D6" s="16" t="n">
        <x:v>39.9</x:v>
      </x:c>
      <x:c r="E6" s="16"/>
      <x:c r="F6" s="16"/>
      <x:c r="G6" s="12" t="str">
        <x:v>https://www.sacnilk.com/news/Baahubali_The_Epic_2025_Box_Office_Collection_Day_Wise_Worldwide</x:v>
      </x:c>
    </x:row>
    <x:row r="7">
      <x:c r="A7" s="12" t="str">
        <x:v>F003</x:v>
      </x:c>
      <x:c r="B7" s="12" t="str">
        <x:v>Baahubali: The Epic</x:v>
      </x:c>
      <x:c r="C7" s="12" t="str">
        <x:v>Overseas</x:v>
      </x:c>
      <x:c r="D7" s="16"/>
      <x:c r="E7" s="16" t="n">
        <x:v>12.25</x:v>
      </x:c>
      <x:c r="F7" s="16"/>
      <x:c r="G7" s="12" t="str">
        <x:v>https://www.sacnilk.com/news/Baahubali_The_Epic_2025_Box_Office_Collection_Day_Wise_Worldwide</x:v>
      </x:c>
    </x:row>
  </x:sheetData>
  <x:pageMargins left="0.7" right="0.7" top="0.75" bottom="0.75" header="0.3" footer="0.3"/>
  <x:tableParts count="1">
    <x:tablePart xmlns:r="http://schemas.openxmlformats.org/officeDocument/2006/relationships" r:id="R2c2dc1cccb8a404f"/>
  </x:tableParts>
</x:worksheet>
</file>

<file path=xl/worksheets/sheet5.xml><?xml version="1.0" encoding="utf-8"?>
<x:worksheet xmlns:x="http://schemas.openxmlformats.org/spreadsheetml/2006/main">
  <x:sheetFormatPr defaultRowHeight="15"/>
  <x:cols>
    <x:col min="8" max="8" width="44" hidden="0" customWidth="1"/>
    <x:col min="1" max="1" width="14" hidden="0" customWidth="1"/>
    <x:col min="2" max="2" width="26" hidden="0" customWidth="1"/>
    <x:col min="3" max="3" width="20" hidden="0" customWidth="1"/>
    <x:col min="4" max="4" width="17" hidden="0" customWidth="1"/>
    <x:col min="5" max="5" width="32" hidden="0" customWidth="1"/>
    <x:col min="6" max="6" width="18" hidden="0" customWidth="1"/>
    <x:col min="7" max="7" width="60" hidden="0" customWidth="1"/>
  </x:cols>
  <x:sheetData>
    <x:row r="1" ht="38" customHeight="1">
      <x:c r="A1" s="81" t="str">
        <x:v>period</x:v>
      </x:c>
      <x:c r="B1" s="81" t="str">
        <x:v>territory</x:v>
      </x:c>
      <x:c r="C1" s="81" t="str">
        <x:v>collection_cr</x:v>
      </x:c>
      <x:c r="D1" s="81" t="str">
        <x:v>metric_type</x:v>
      </x:c>
      <x:c r="E1" s="81" t="str">
        <x:v>basis</x:v>
      </x:c>
      <x:c r="F1" s="81" t="str">
        <x:v>source_name</x:v>
      </x:c>
      <x:c r="G1" s="81" t="str">
        <x:v>source_url</x:v>
      </x:c>
      <x:c r="H1" s="81" t="str">
        <x:v>analyst_note</x:v>
      </x:c>
    </x:row>
    <x:row r="2" ht="38" customHeight="1">
      <x:c r="A2" s="12" t="str">
        <x:v>30 days</x:v>
      </x:c>
      <x:c r="B2" s="16" t="str">
        <x:v>Hindi version</x:v>
      </x:c>
      <x:c r="C2" s="82" t="n">
        <x:v>490</x:v>
      </x:c>
      <x:c r="D2" s="16" t="str">
        <x:v>Domestic nett</x:v>
      </x:c>
      <x:c r="E2" s="16" t="str">
        <x:v>Reported by TOI from BoxofficeIndia.com</x:v>
      </x:c>
      <x:c r="F2" s="16" t="str">
        <x:v>Times of India</x:v>
      </x:c>
      <x:c r="G2" s="16" t="str">
        <x:v>https://timesofindia.indiatimes.com/entertainment/hindi/bollywood/box-office/baahubali-2-the-conclusion-box-office-collection-film-collects-rs-1000-crore-nett-in-30-days/articleshow/58891683.cms</x:v>
      </x:c>
      <x:c r="H2" s="12" t="str">
        <x:v>Part of reported ₹1,000.50 Cr domestic nett in 30 days.</x:v>
      </x:c>
    </x:row>
    <x:row r="3" ht="38" customHeight="1">
      <x:c r="A3" s="12" t="str">
        <x:v>30 days</x:v>
      </x:c>
      <x:c r="B3" s="16" t="str">
        <x:v>Dubbed version balance</x:v>
      </x:c>
      <x:c r="C3" s="82" t="n">
        <x:v>9.5</x:v>
      </x:c>
      <x:c r="D3" s="16" t="str">
        <x:v>Domestic nett</x:v>
      </x:c>
      <x:c r="E3" s="16" t="str">
        <x:v>Reported by TOI from BoxofficeIndia.com</x:v>
      </x:c>
      <x:c r="F3" s="16" t="str">
        <x:v>Times of India</x:v>
      </x:c>
      <x:c r="G3" s="16" t="str">
        <x:v>https://timesofindia.indiatimes.com/entertainment/hindi/bollywood/box-office/baahubali-2-the-conclusion-box-office-collection-film-collects-rs-1000-crore-nett-in-30-days/articleshow/58891683.cms</x:v>
      </x:c>
      <x:c r="H3" s="12" t="str">
        <x:v>Label retained carefully because source wording says 'dubbed version' amount.</x:v>
      </x:c>
    </x:row>
    <x:row r="4" ht="38" customHeight="1">
      <x:c r="A4" s="12" t="str">
        <x:v>30 days</x:v>
      </x:c>
      <x:c r="B4" s="16" t="str">
        <x:v>Nizam &amp; Andhra Pradesh</x:v>
      </x:c>
      <x:c r="C4" s="82" t="n">
        <x:v>265</x:v>
      </x:c>
      <x:c r="D4" s="16" t="str">
        <x:v>Domestic nett</x:v>
      </x:c>
      <x:c r="E4" s="16" t="str">
        <x:v>Reported territory total</x:v>
      </x:c>
      <x:c r="F4" s="16" t="str">
        <x:v>Times of India</x:v>
      </x:c>
      <x:c r="G4" s="16" t="str">
        <x:v>https://timesofindia.indiatimes.com/entertainment/hindi/bollywood/box-office/baahubali-2-the-conclusion-box-office-collection-film-collects-rs-1000-crore-nett-in-30-days/articleshow/58891683.cms</x:v>
      </x:c>
      <x:c r="H4" s="12" t="str">
        <x:v>Source wording uses 'Nizamabad and Andhra Pradesh'; normalized as Nizam &amp; Andhra Pradesh.</x:v>
      </x:c>
    </x:row>
    <x:row r="5" ht="38" customHeight="1">
      <x:c r="A5" s="12" t="str">
        <x:v>30 days</x:v>
      </x:c>
      <x:c r="B5" s="16" t="str">
        <x:v>Karnataka &amp; Mysore</x:v>
      </x:c>
      <x:c r="C5" s="82" t="n">
        <x:v>77</x:v>
      </x:c>
      <x:c r="D5" s="16" t="str">
        <x:v>Domestic nett</x:v>
      </x:c>
      <x:c r="E5" s="16" t="str">
        <x:v>Reported territory total</x:v>
      </x:c>
      <x:c r="F5" s="16" t="str">
        <x:v>Times of India</x:v>
      </x:c>
      <x:c r="G5" s="16" t="str">
        <x:v>https://timesofindia.indiatimes.com/entertainment/hindi/bollywood/box-office/baahubali-2-the-conclusion-box-office-collection-film-collects-rs-1000-crore-nett-in-30-days/articleshow/58891683.cms</x:v>
      </x:c>
      <x:c r="H5" s="12" t="str">
        <x:v>One-month territory collection.</x:v>
      </x:c>
    </x:row>
    <x:row r="6" ht="38" customHeight="1">
      <x:c r="A6" s="12" t="str">
        <x:v>30 days</x:v>
      </x:c>
      <x:c r="B6" s="16" t="str">
        <x:v>Tamil Nadu</x:v>
      </x:c>
      <x:c r="C6" s="82" t="n">
        <x:v>104</x:v>
      </x:c>
      <x:c r="D6" s="16" t="str">
        <x:v>Domestic nett</x:v>
      </x:c>
      <x:c r="E6" s="16" t="str">
        <x:v>Reported territory total</x:v>
      </x:c>
      <x:c r="F6" s="16" t="str">
        <x:v>Times of India</x:v>
      </x:c>
      <x:c r="G6" s="16" t="str">
        <x:v>https://timesofindia.indiatimes.com/entertainment/hindi/bollywood/box-office/baahubali-2-the-conclusion-box-office-collection-film-collects-rs-1000-crore-nett-in-30-days/articleshow/58891683.cms</x:v>
      </x:c>
      <x:c r="H6" s="12" t="str">
        <x:v>One-month territory collection.</x:v>
      </x:c>
    </x:row>
    <x:row r="7" ht="38" customHeight="1">
      <x:c r="A7" s="12" t="str">
        <x:v>30 days</x:v>
      </x:c>
      <x:c r="B7" s="16" t="str">
        <x:v>Kerala</x:v>
      </x:c>
      <x:c r="C7" s="82" t="n">
        <x:v>55</x:v>
      </x:c>
      <x:c r="D7" s="16" t="str">
        <x:v>Domestic nett</x:v>
      </x:c>
      <x:c r="E7" s="16" t="str">
        <x:v>Reported territory total</x:v>
      </x:c>
      <x:c r="F7" s="16" t="str">
        <x:v>Times of India</x:v>
      </x:c>
      <x:c r="G7" s="16" t="str">
        <x:v>https://timesofindia.indiatimes.com/entertainment/hindi/bollywood/box-office/baahubali-2-the-conclusion-box-office-collection-film-collects-rs-1000-crore-nett-in-30-days/articleshow/58891683.cms</x:v>
      </x:c>
      <x:c r="H7" s="12" t="str">
        <x:v>One-month territory collection.</x:v>
      </x:c>
    </x:row>
    <x:row r="8" ht="38" customHeight="1">
      <x:c r="A8" s="12" t="str">
        <x:v>30 days</x:v>
      </x:c>
      <x:c r="B8" s="12" t="str">
        <x:v>Reported domestic total</x:v>
      </x:c>
      <x:c r="C8" s="82" t="n">
        <x:v>1000.5</x:v>
      </x:c>
      <x:c r="D8" s="12" t="str">
        <x:v>Domestic nett</x:v>
      </x:c>
      <x:c r="E8" s="12" t="str">
        <x:v>Reported total</x:v>
      </x:c>
      <x:c r="F8" s="12" t="str">
        <x:v>Times of India</x:v>
      </x:c>
      <x:c r="G8" s="12" t="str">
        <x:v>https://timesofindia.indiatimes.com/entertainment/hindi/bollywood/box-office/baahubali-2-the-conclusion-box-office-collection-film-collects-rs-1000-crore-nett-in-30-days/articleshow/58891683.cms</x:v>
      </x:c>
      <x:c r="H8" s="12" t="str">
        <x:v>Control total; sum of rows above equals ₹1,000.50 Cr.</x:v>
      </x:c>
    </x:row>
  </x:sheetData>
  <x:pageMargins left="0.7" right="0.7" top="0.75" bottom="0.75" header="0.3" footer="0.3"/>
  <x:tableParts count="1">
    <x:tablePart xmlns:r="http://schemas.openxmlformats.org/officeDocument/2006/relationships" r:id="Rdbd24c13fb94457a"/>
  </x:tableParts>
</x:worksheet>
</file>

<file path=xl/worksheets/sheet6.xml><?xml version="1.0" encoding="utf-8"?>
<x:worksheet xmlns:x="http://schemas.openxmlformats.org/spreadsheetml/2006/main">
  <x:sheetFormatPr defaultRowHeight="15"/>
  <x:cols>
    <x:col min="3" max="3" width="24" hidden="0" customWidth="1"/>
    <x:col min="4" max="4" width="70" hidden="0" customWidth="1"/>
    <x:col min="7" max="7" width="60" hidden="0" customWidth="1"/>
    <x:col min="8" max="8" width="60" hidden="0" customWidth="1"/>
  </x:cols>
  <x:sheetData>
    <x:row r="1">
      <x:c r="A1" s="6" t="str">
        <x:v>signal_id</x:v>
      </x:c>
      <x:c r="B1" s="6" t="str">
        <x:v>date</x:v>
      </x:c>
      <x:c r="C1" s="6" t="str">
        <x:v>signal_type</x:v>
      </x:c>
      <x:c r="D1" s="6" t="str">
        <x:v>evidence_summary</x:v>
      </x:c>
      <x:c r="E1" s="6" t="str">
        <x:v>analyst_score_0_100</x:v>
      </x:c>
      <x:c r="F1" s="6" t="str">
        <x:v>confidence</x:v>
      </x:c>
      <x:c r="G1" s="6" t="str">
        <x:v>source_url</x:v>
      </x:c>
      <x:c r="H1" s="6" t="str">
        <x:v>data_quality_note</x:v>
      </x:c>
    </x:row>
    <x:row r="2">
      <x:c r="A2" s="12" t="str">
        <x:v>B001</x:v>
      </x:c>
      <x:c r="B2" s="14" t="n">
        <x:v>46195</x:v>
      </x:c>
      <x:c r="C2" s="12" t="str">
        <x:v>Release anticipation</x:v>
      </x:c>
      <x:c r="D2" s="12" t="str">
        <x:v>Reported as a new Netflix project/documentary around the franchise journey, cultural impact and decade-long legacy.</x:v>
      </x:c>
      <x:c r="E2" s="12" t="n">
        <x:v>82</x:v>
      </x:c>
      <x:c r="F2" s="12" t="str">
        <x:v>Medium</x:v>
      </x:c>
      <x:c r="G2" s="12" t="str">
        <x:v>https://www.indiatoday.in/movies/regional-cinema/story/baahubali-the-torchbearer-documentary-ss-rajamouli-prabhas-rana-daggubati-netflix-2931501-2026-06-22</x:v>
      </x:c>
      <x:c r="H2" s="12" t="str">
        <x:v>Analyst score is a qualitative proxy, not measured social volume.</x:v>
      </x:c>
    </x:row>
    <x:row r="3">
      <x:c r="A3" s="12" t="str">
        <x:v>B002</x:v>
      </x:c>
      <x:c r="B3" s="14" t="n">
        <x:v>46199</x:v>
      </x:c>
      <x:c r="C3" s="12" t="str">
        <x:v>Positive fan reaction</x:v>
      </x:c>
      <x:c r="D3" s="12" t="str">
        <x:v>Fan coverage described viewers praising Rajamouli's vision, Prabhas and the Mahishmati legacy.</x:v>
      </x:c>
      <x:c r="E3" s="12" t="n">
        <x:v>88</x:v>
      </x:c>
      <x:c r="F3" s="12" t="str">
        <x:v>Medium</x:v>
      </x:c>
      <x:c r="G3" s="12" t="str">
        <x:v>https://timesofindia.indiatimes.com/entertainment/telugu/movies/news/baahubali-the-torchbearer-twitter-review-fans-laud-ss-rajamoulis-vision-celebrate-prabhas-and-the-legacy-of-mahishmati/articleshow/132010540.cms</x:v>
      </x:c>
      <x:c r="H3" s="12" t="str">
        <x:v>Analyst score is a qualitative proxy, not measured social volume.</x:v>
      </x:c>
    </x:row>
    <x:row r="4">
      <x:c r="A4" s="12" t="str">
        <x:v>B003</x:v>
      </x:c>
      <x:c r="B4" s="14" t="n">
        <x:v>46199</x:v>
      </x:c>
      <x:c r="C4" s="12" t="str">
        <x:v>Baahubali 3 speculation</x:v>
      </x:c>
      <x:c r="D4" s="12" t="str">
        <x:v>Reports say the documentary ending and cast moments triggered speculation around Baahubali 3.</x:v>
      </x:c>
      <x:c r="E4" s="12" t="n">
        <x:v>92</x:v>
      </x:c>
      <x:c r="F4" s="12" t="str">
        <x:v>Medium</x:v>
      </x:c>
      <x:c r="G4" s="12" t="str">
        <x:v>https://timesofindia.indiatimes.com/entertainment/telugu/movies/news/baahubali-the-torchbearer-twitter-review-fans-laud-ss-rajamoulis-vision-celebrate-prabhas-and-the-legacy-of-mahishmati/articleshow/132010540.cms</x:v>
      </x:c>
      <x:c r="H4" s="12" t="str">
        <x:v>Speculation is not an official sequel announcement; treat as buzz indicator only.</x:v>
      </x:c>
    </x:row>
    <x:row r="5">
      <x:c r="A5" s="12" t="str">
        <x:v>B004</x:v>
      </x:c>
      <x:c r="B5" s="14" t="n">
        <x:v>45961</x:v>
      </x:c>
      <x:c r="C5" s="12" t="str">
        <x:v>Re-release demand</x:v>
      </x:c>
      <x:c r="D5" s="12" t="str">
        <x:v>The one-cut re-release achieved published worldwide collection and strong re-release positioning.</x:v>
      </x:c>
      <x:c r="E5" s="12" t="n">
        <x:v>80</x:v>
      </x:c>
      <x:c r="F5" s="12" t="str">
        <x:v>High</x:v>
      </x:c>
      <x:c r="G5" s="12" t="str">
        <x:v>https://www.sacnilk.com/news/Baahubali_The_Epic_2025_Box_Office_Collection_Day_Wise_Worldwide</x:v>
      </x:c>
      <x:c r="H5" s="12" t="str">
        <x:v>Box-office based proxy for franchise pull.</x:v>
      </x:c>
    </x:row>
  </x:sheetData>
  <x:conditionalFormatting sqref="E2:E5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{CFC92E52-C335-C4A9-D795-94815831E8A6}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d49b291d0d146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FC92E52-C335-C4A9-D795-94815831E8A6}">
            <x14:dataBar gradient="1">
              <x14:cfvo type="min"/>
              <x14:cfvo type="max"/>
              <x14:fillColor rgb="FF3B82F6"/>
            </x14:dataBar>
          </x14:cfRule>
          <xm:sqref>E2:E5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60" hidden="0" customWidth="1"/>
    <x:col min="4" max="4" width="48" hidden="0" customWidth="1"/>
    <x:col min="5" max="5" width="28" hidden="0" customWidth="1"/>
    <x:col min="6" max="6" width="48" hidden="0" customWidth="1"/>
    <x:col min="1" max="1" width="12" hidden="0" customWidth="1"/>
  </x:cols>
  <x:sheetData>
    <x:row r="1">
      <x:c r="A1" s="81" t="str">
        <x:v>source_id</x:v>
      </x:c>
      <x:c r="B1" s="81" t="str">
        <x:v>source_name</x:v>
      </x:c>
      <x:c r="C1" s="81" t="str">
        <x:v>url</x:v>
      </x:c>
      <x:c r="D1" s="81" t="str">
        <x:v>what_used</x:v>
      </x:c>
      <x:c r="E1" s="81" t="str">
        <x:v>retrieved_context</x:v>
      </x:c>
      <x:c r="F1" s="81" t="str">
        <x:v>reliability_note</x:v>
      </x:c>
    </x:row>
    <x:row r="2">
      <x:c r="A2" s="12" t="str">
        <x:v>S001</x:v>
      </x:c>
      <x:c r="B2" s="12" t="str">
        <x:v>Netflix official title page</x:v>
      </x:c>
      <x:c r="C2" s="12" t="str">
        <x:v>https://www.netflix.com/title/82821951</x:v>
      </x:c>
      <x:c r="D2" s="12" t="str">
        <x:v>Torchbearer official metadata: episodes, rating, genre, description, cast</x:v>
      </x:c>
      <x:c r="E2" s="12" t="str">
        <x:v>Official streaming title page</x:v>
      </x:c>
      <x:c r="F2" s="12" t="str">
        <x:v>High for content metadata.</x:v>
      </x:c>
    </x:row>
    <x:row r="3">
      <x:c r="A3" s="12" t="str">
        <x:v>S002</x:v>
      </x:c>
      <x:c r="B3" s="12" t="str">
        <x:v>India Today</x:v>
      </x:c>
      <x:c r="C3" s="12" t="str">
        <x:v>https://www.indiatoday.in/movies/regional-cinema/story/baahubali-the-torchbearer-documentary-ss-rajamouli-prabhas-rana-daggubati-netflix-2931501-2026-06-22</x:v>
      </x:c>
      <x:c r="D3" s="12" t="str">
        <x:v>Torchbearer Netflix premiere date and documentary description</x:v>
      </x:c>
      <x:c r="E3" s="12" t="str">
        <x:v>News article Jun 22, 2026</x:v>
      </x:c>
      <x:c r="F3" s="12" t="str">
        <x:v>Good for release context; not official box-office data.</x:v>
      </x:c>
    </x:row>
    <x:row r="4">
      <x:c r="A4" s="12" t="str">
        <x:v>S003</x:v>
      </x:c>
      <x:c r="B4" s="12" t="str">
        <x:v>Economic Times</x:v>
      </x:c>
      <x:c r="C4" s="12" t="str">
        <x:v>https://economictimes.indiatimes.com/magazines/panache/baahubali-the-torchbearer-ott-release-details-release-date-platform-and-all-you-need-to-know-new-project-based-on-prabhas-blockbuster-franchise/articleshow/131887935.cms</x:v>
      </x:c>
      <x:c r="D4" s="12" t="str">
        <x:v>Release date and buzz context for Torchbearer</x:v>
      </x:c>
      <x:c r="E4" s="12" t="str">
        <x:v>News article Jun 2026</x:v>
      </x:c>
      <x:c r="F4" s="12" t="str">
        <x:v>Good for release context; not official viewership.</x:v>
      </x:c>
    </x:row>
    <x:row r="5">
      <x:c r="A5" s="12" t="str">
        <x:v>S004</x:v>
      </x:c>
      <x:c r="B5" s="12" t="str">
        <x:v>Times of India</x:v>
      </x:c>
      <x:c r="C5" s="12" t="str">
        <x:v>https://timesofindia.indiatimes.com/entertainment/telugu/movies/news/baahubali-the-torchbearer-twitter-review-fans-laud-ss-rajamoulis-vision-celebrate-prabhas-and-the-legacy-of-mahishmati/articleshow/132010540.cms</x:v>
      </x:c>
      <x:c r="D5" s="12" t="str">
        <x:v>Fan reactions and Baahubali 3 speculation signal</x:v>
      </x:c>
      <x:c r="E5" s="12" t="str">
        <x:v>Entertainment news article Jun 26, 2026</x:v>
      </x:c>
      <x:c r="F5" s="12" t="str">
        <x:v>Good for qualitative media signal; not a measured social dataset.</x:v>
      </x:c>
    </x:row>
    <x:row r="6">
      <x:c r="A6" s="12" t="str">
        <x:v>S005</x:v>
      </x:c>
      <x:c r="B6" s="12" t="str">
        <x:v>Sacnilk Baahubali 2015</x:v>
      </x:c>
      <x:c r="C6" s="12" t="str">
        <x:v>https://www.sacnilk.com/movie/Baahubali_2015</x:v>
      </x:c>
      <x:c r="D6" s="12" t="str">
        <x:v>BB1 budget, India gross, overseas gross, worldwide gross</x:v>
      </x:c>
      <x:c r="E6" s="12" t="str">
        <x:v>Box-office page</x:v>
      </x:c>
      <x:c r="F6" s="12" t="str">
        <x:v>Approximate; Sacnilk states data compiled from multiple sources.</x:v>
      </x:c>
    </x:row>
    <x:row r="7">
      <x:c r="A7" s="12" t="str">
        <x:v>S006</x:v>
      </x:c>
      <x:c r="B7" s="12" t="str">
        <x:v>Sacnilk BB2 collection</x:v>
      </x:c>
      <x:c r="C7" s="12" t="str">
        <x:v>https://www.sacnilk.com/news/Baahubali_2_Box_Office_Collection_All_Language_Worldwide</x:v>
      </x:c>
      <x:c r="D7" s="12" t="str">
        <x:v>BB2 budget, release date, screen count and box-office cross-checks</x:v>
      </x:c>
      <x:c r="E7" s="12" t="str">
        <x:v>Box-office article</x:v>
      </x:c>
      <x:c r="F7" s="12" t="str">
        <x:v>Approximate; used for BB2 metadata and cross-checks, not the 30-day territory table.</x:v>
      </x:c>
    </x:row>
    <x:row r="8">
      <x:c r="A8" s="12" t="str">
        <x:v>S007</x:v>
      </x:c>
      <x:c r="B8" s="12" t="str">
        <x:v>Sacnilk BB2 comparison</x:v>
      </x:c>
      <x:c r="C8" s="12" t="str">
        <x:v>https://www.sacnilk.com/movieboxofficecomparison/Baahubali_2_The_Conclusion_vs_Gold_Box_Office_Collection</x:v>
      </x:c>
      <x:c r="D8" s="12" t="str">
        <x:v>BB2 India gross, overseas, worldwide collection</x:v>
      </x:c>
      <x:c r="E8" s="12" t="str">
        <x:v>Comparison page</x:v>
      </x:c>
      <x:c r="F8" s="12" t="str">
        <x:v>Approximate but structured values.</x:v>
      </x:c>
    </x:row>
    <x:row r="9">
      <x:c r="A9" s="12" t="str">
        <x:v>S008</x:v>
      </x:c>
      <x:c r="B9" s="12" t="str">
        <x:v>Sacnilk The Epic</x:v>
      </x:c>
      <x:c r="C9" s="12" t="str">
        <x:v>https://www.sacnilk.com/news/Baahubali_The_Epic_2025_Box_Office_Collection_Day_Wise_Worldwide</x:v>
      </x:c>
      <x:c r="D9" s="12" t="str">
        <x:v>The Epic re-release worldwide, India, overseas gross</x:v>
      </x:c>
      <x:c r="E9" s="12" t="str">
        <x:v>Box-office article</x:v>
      </x:c>
      <x:c r="F9" s="12" t="str">
        <x:v>Approximate; re-release data.</x:v>
      </x:c>
    </x:row>
    <x:row r="10">
      <x:c r="A10" s="12" t="str">
        <x:v>S009</x:v>
      </x:c>
      <x:c r="B10" s="12" t="str">
        <x:v>Wikipedia BB1</x:v>
      </x:c>
      <x:c r="C10" s="12" t="str">
        <x:v>https://en.wikipedia.org/wiki/Baahubali:_The_Beginning</x:v>
      </x:c>
      <x:c r="D10" s="12" t="str">
        <x:v>Cross-check release date, director, cast, production company</x:v>
      </x:c>
      <x:c r="E10" s="12" t="str">
        <x:v>Wikipedia article</x:v>
      </x:c>
      <x:c r="F10" s="12" t="str">
        <x:v>Secondary source, cross-check only.</x:v>
      </x:c>
    </x:row>
    <x:row r="11">
      <x:c r="A11" s="12" t="str">
        <x:v>S010</x:v>
      </x:c>
      <x:c r="B11" s="12" t="str">
        <x:v>Wikipedia BB2</x:v>
      </x:c>
      <x:c r="C11" s="12" t="str">
        <x:v>https://en.wikipedia.org/wiki/Baahubali_2:_The_Conclusion</x:v>
      </x:c>
      <x:c r="D11" s="12" t="str">
        <x:v>Cross-check release date, director, cast, production company</x:v>
      </x:c>
      <x:c r="E11" s="12" t="str">
        <x:v>Wikipedia article</x:v>
      </x:c>
      <x:c r="F11" s="12" t="str">
        <x:v>Secondary source, cross-check only.</x:v>
      </x:c>
    </x:row>
    <x:row r="12">
      <x:c r="A12" s="12" t="str">
        <x:v>S011</x:v>
      </x:c>
      <x:c r="B12" s="12" t="str">
        <x:v>Times of India / BoxofficeIndia.com</x:v>
      </x:c>
      <x:c r="C12" s="12" t="str">
        <x:v>https://timesofindia.indiatimes.com/entertainment/hindi/bollywood/box-office/baahubali-2-the-conclusion-box-office-collection-film-collects-rs-1000-crore-nett-in-30-days/articleshow/58891683.cms</x:v>
      </x:c>
      <x:c r="D12" s="12" t="str">
        <x:v>BB2 30-day domestic nett total and territory/segment breakup</x:v>
      </x:c>
      <x:c r="E12" s="12" t="str">
        <x:v>News report dated May 29, 2017 citing BoxofficeIndia.com</x:v>
      </x:c>
      <x:c r="F12" s="12" t="str">
        <x:v>Use as 30-day domestic nett snapshot; do not mix with worldwide gross.</x:v>
      </x:c>
    </x:row>
  </x:sheetData>
  <x:pageMargins left="0.7" right="0.7" top="0.75" bottom="0.75" header="0.3" footer="0.3"/>
  <x:tableParts count="1">
    <x:tablePart xmlns:r="http://schemas.openxmlformats.org/officeDocument/2006/relationships" r:id="R657486cd9bf44c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4" hidden="0" customWidth="1"/>
    <x:col min="4" max="4" width="44" hidden="0" customWidth="1"/>
    <x:col min="5" max="5" width="40" hidden="0" customWidth="1"/>
  </x:cols>
  <x:sheetData>
    <x:row r="1">
      <x:c r="A1" s="81" t="str">
        <x:v>table</x:v>
      </x:c>
      <x:c r="B1" s="81" t="str">
        <x:v>column</x:v>
      </x:c>
      <x:c r="C1" s="81" t="str">
        <x:v>definition</x:v>
      </x:c>
      <x:c r="D1" s="81" t="str">
        <x:v>calculation_or_source</x:v>
      </x:c>
      <x:c r="E1" s="81" t="str">
        <x:v>business_use</x:v>
      </x:c>
    </x:row>
    <x:row r="2">
      <x:c r="A2" s="12" t="str">
        <x:v>Fact_Films</x:v>
      </x:c>
      <x:c r="B2" s="12" t="str">
        <x:v>worldwide_gross_cr</x:v>
      </x:c>
      <x:c r="C2" s="12" t="str">
        <x:v>Published worldwide gross in Indian crore rupees</x:v>
      </x:c>
      <x:c r="D2" s="12" t="str">
        <x:v>Source-backed numeric input</x:v>
      </x:c>
      <x:c r="E2" s="12" t="str">
        <x:v>Main gross KPI and ROI comparison</x:v>
      </x:c>
    </x:row>
    <x:row r="3">
      <x:c r="A3" s="12" t="str">
        <x:v>Fact_Films</x:v>
      </x:c>
      <x:c r="B3" s="12" t="str">
        <x:v>roi_multiple</x:v>
      </x:c>
      <x:c r="C3" s="12" t="str">
        <x:v>Worldwide gross divided by budget</x:v>
      </x:c>
      <x:c r="D3" s="12" t="str">
        <x:v>=worldwide_gross_cr / budget_cr</x:v>
      </x:c>
      <x:c r="E3" s="12" t="str">
        <x:v>Franchise commercial efficiency</x:v>
      </x:c>
    </x:row>
    <x:row r="4">
      <x:c r="A4" s="12" t="str">
        <x:v>Fact_Films</x:v>
      </x:c>
      <x:c r="B4" s="12" t="str">
        <x:v>india_share</x:v>
      </x:c>
      <x:c r="C4" s="12" t="str">
        <x:v>India gross divided by worldwide gross</x:v>
      </x:c>
      <x:c r="D4" s="12" t="str">
        <x:v>=india_gross_cr / worldwide_gross_cr</x:v>
      </x:c>
      <x:c r="E4" s="12" t="str">
        <x:v>Domestic market dependence</x:v>
      </x:c>
    </x:row>
    <x:row r="5">
      <x:c r="A5" s="12" t="str">
        <x:v>Fact_Films</x:v>
      </x:c>
      <x:c r="B5" s="12" t="str">
        <x:v>overseas_share</x:v>
      </x:c>
      <x:c r="C5" s="12" t="str">
        <x:v>Overseas gross divided by worldwide gross</x:v>
      </x:c>
      <x:c r="D5" s="12" t="str">
        <x:v>=overseas_gross_cr / worldwide_gross_cr</x:v>
      </x:c>
      <x:c r="E5" s="12" t="str">
        <x:v>International expansion signal</x:v>
      </x:c>
    </x:row>
    <x:row r="6">
      <x:c r="A6" s="12" t="str">
        <x:v>Fact_Content</x:v>
      </x:c>
      <x:c r="B6" s="12" t="str">
        <x:v>episodes</x:v>
      </x:c>
      <x:c r="C6" s="12" t="str">
        <x:v>Number of Netflix episodes</x:v>
      </x:c>
      <x:c r="D6" s="12" t="str">
        <x:v>Netflix official source</x:v>
      </x:c>
      <x:c r="E6" s="12" t="str">
        <x:v>OTT content scope</x:v>
      </x:c>
    </x:row>
    <x:row r="7">
      <x:c r="A7" s="12" t="str">
        <x:v>Fact_Episodes</x:v>
      </x:c>
      <x:c r="B7" s="12" t="str">
        <x:v>runtime_min</x:v>
      </x:c>
      <x:c r="C7" s="12" t="str">
        <x:v>Published runtime by episode</x:v>
      </x:c>
      <x:c r="D7" s="12" t="str">
        <x:v>Netflix official source</x:v>
      </x:c>
      <x:c r="E7" s="12" t="str">
        <x:v>Engagement and content length analysis</x:v>
      </x:c>
    </x:row>
    <x:row r="8">
      <x:c r="A8" s="12" t="str">
        <x:v>Fact_BB2_StateGross</x:v>
      </x:c>
      <x:c r="B8" s="12" t="str">
        <x:v>collection_cr</x:v>
      </x:c>
      <x:c r="C8" s="12" t="str">
        <x:v>BB2 30-day domestic nett by territory/segment</x:v>
      </x:c>
      <x:c r="D8" s="12" t="str">
        <x:v>Times of India report citing BoxofficeIndia.com</x:v>
      </x:c>
      <x:c r="E8" s="12" t="str">
        <x:v>One-month territory/segment market distribution</x:v>
      </x:c>
    </x:row>
    <x:row r="9">
      <x:c r="A9" s="12" t="str">
        <x:v>Fact_BuzzSignals</x:v>
      </x:c>
      <x:c r="B9" s="12" t="str">
        <x:v>analyst_score_0_100</x:v>
      </x:c>
      <x:c r="C9" s="12" t="str">
        <x:v>Qualitative proxy score assigned from public media evidence</x:v>
      </x:c>
      <x:c r="D9" s="12" t="str">
        <x:v>Manual analyst-coded metric; not raw social volume</x:v>
      </x:c>
      <x:c r="E9" s="12" t="str">
        <x:v>Used only as directional buzz indicator</x:v>
      </x:c>
    </x:row>
    <x:row r="10">
      <x:c r="A10" s="12" t="str">
        <x:v>Fact_BB2_StateGross</x:v>
      </x:c>
      <x:c r="B10" s="12" t="str">
        <x:v>metric_type</x:v>
      </x:c>
      <x:c r="C10" s="12" t="str">
        <x:v>Clarifies that the state/territory table is domestic nett, not worldwide gross</x:v>
      </x:c>
      <x:c r="D10" s="12" t="str">
        <x:v>Manual data governance label</x:v>
      </x:c>
      <x:c r="E10" s="12" t="str">
        <x:v>Prevents mixing nett and gross metrics</x:v>
      </x:c>
    </x:row>
  </x:sheetData>
  <x:pageMargins left="0.7" right="0.7" top="0.75" bottom="0.75" header="0.3" footer="0.3"/>
  <x:tableParts count="1">
    <x:tablePart xmlns:r="http://schemas.openxmlformats.org/officeDocument/2006/relationships" r:id="Rc56ca6d69f3f48b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22" hidden="0" customWidth="1"/>
    <x:col min="4" max="4" width="90" hidden="0" customWidth="1"/>
  </x:cols>
  <x:sheetData>
    <x:row r="1">
      <x:c r="A1" s="6" t="str">
        <x:v>query_name</x:v>
      </x:c>
      <x:c r="B1" s="6" t="str">
        <x:v>use_case</x:v>
      </x:c>
      <x:c r="C1" s="6" t="str">
        <x:v>standard_sql_or_bigquery</x:v>
      </x:c>
      <x:c r="D1" s="6" t="str">
        <x:v>sql</x:v>
      </x:c>
    </x:row>
    <x:row r="2">
      <x:c r="A2" s="12" t="str">
        <x:v>Top markets per film</x:v>
      </x:c>
      <x:c r="B2" s="12" t="str">
        <x:v>Rank markets by gross for each film</x:v>
      </x:c>
      <x:c r="C2" s="12" t="str">
        <x:v>BigQuery</x:v>
      </x:c>
      <x:c r="D2" s="12" t="str">
        <x:v>WITH market_revenue AS (
  SELECT title, market, SUM(COALESCE(india_gross_cr, overseas_gross_cr, 0)) AS gross_cr
  FROM `project.dataset.fact_market_split`
  GROUP BY title, market
)
SELECT *
FROM market_revenue
QUALIFY RANK() OVER(PARTITION BY title ORDER BY gross_cr DESC) &lt;= 2;</x:v>
      </x:c>
    </x:row>
    <x:row r="3">
      <x:c r="A3" s="12" t="str">
        <x:v>Film ROI ranking</x:v>
      </x:c>
      <x:c r="B3" s="12" t="str">
        <x:v>Rank films by ROI</x:v>
      </x:c>
      <x:c r="C3" s="12" t="str">
        <x:v>Standard SQL</x:v>
      </x:c>
      <x:c r="D3" s="12" t="str">
        <x:v>WITH film_roi AS (
  SELECT title, worldwide_gross_cr, budget_cr,
         worldwide_gross_cr / NULLIF(budget_cr, 0) AS roi_multiple
  FROM Fact_Films
  WHERE budget_cr IS NOT NULL
)
SELECT title, worldwide_gross_cr, budget_cr, roi_multiple,
       RANK() OVER(ORDER BY roi_multiple DESC) AS roi_rank
FROM film_roi;</x:v>
      </x:c>
    </x:row>
    <x:row r="4">
      <x:c r="A4" s="12" t="str">
        <x:v>BigQuery SAFE_DIVIDE shares</x:v>
      </x:c>
      <x:c r="B4" s="12" t="str">
        <x:v>Calculate India and overseas share safely</x:v>
      </x:c>
      <x:c r="C4" s="12" t="str">
        <x:v>BigQuery</x:v>
      </x:c>
      <x:c r="D4" s="12" t="str">
        <x:v>SELECT
  title,
  SAFE_DIVIDE(india_gross_cr, worldwide_gross_cr) AS india_share,
  SAFE_DIVIDE(overseas_gross_cr, worldwide_gross_cr) AS overseas_share
FROM `project.dataset.fact_films`;</x:v>
      </x:c>
    </x:row>
    <x:row r="5">
      <x:c r="A5" s="12" t="str">
        <x:v>Torchbearer episode runtime ranking</x:v>
      </x:c>
      <x:c r="B5" s="12" t="str">
        <x:v>Longest episode</x:v>
      </x:c>
      <x:c r="C5" s="12" t="str">
        <x:v>Standard SQL</x:v>
      </x:c>
      <x:c r="D5" s="12" t="str">
        <x:v>SELECT episode_no, episode_title, runtime_min
FROM Fact_Episodes
QUALIFY ROW_NUMBER() OVER(ORDER BY runtime_min DESC) = 1; -- BigQuery
-- For standard SQL, wrap the ROW_NUMBER in a CTE.</x:v>
      </x:c>
    </x:row>
  </x:sheetData>
  <x:pageMargins left="0.7" right="0.7" top="0.75" bottom="0.75" header="0.3" footer="0.3"/>
  <x:tableParts count="1">
    <x:tablePart xmlns:r="http://schemas.openxmlformats.org/officeDocument/2006/relationships" r:id="R2589067acd504fd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6" t="str">
        <x:v>measure_name</x:v>
      </x:c>
      <x:c r="B1" s="6" t="str">
        <x:v>dax</x:v>
      </x:c>
    </x:row>
    <x:row r="2">
      <x:c r="A2" s="12" t="str">
        <x:v>Total Worldwide Gross</x:v>
      </x:c>
      <x:c r="B2" s="12" t="str">
        <x:v>Total Worldwide Gross = SUM(Fact_Films[worldwide_gross_cr])</x:v>
      </x:c>
    </x:row>
    <x:row r="3">
      <x:c r="A3" s="12" t="str">
        <x:v>Total Budget</x:v>
      </x:c>
      <x:c r="B3" s="12" t="str">
        <x:v>Total Budget = SUM(Fact_Films[budget_cr])</x:v>
      </x:c>
    </x:row>
    <x:row r="4">
      <x:c r="A4" s="12" t="str">
        <x:v>ROI Multiple</x:v>
      </x:c>
      <x:c r="B4" s="12" t="str">
        <x:v>ROI Multiple = DIVIDE([Total Worldwide Gross], [Total Budget])</x:v>
      </x:c>
    </x:row>
    <x:row r="5">
      <x:c r="A5" s="12" t="str">
        <x:v>India Gross</x:v>
      </x:c>
      <x:c r="B5" s="12" t="str">
        <x:v>India Gross = SUM(Fact_Films[india_gross_cr])</x:v>
      </x:c>
    </x:row>
    <x:row r="6">
      <x:c r="A6" s="12" t="str">
        <x:v>Overseas Gross</x:v>
      </x:c>
      <x:c r="B6" s="12" t="str">
        <x:v>Overseas Gross = SUM(Fact_Films[overseas_gross_cr])</x:v>
      </x:c>
    </x:row>
    <x:row r="7">
      <x:c r="A7" s="12" t="str">
        <x:v>India Share</x:v>
      </x:c>
      <x:c r="B7" s="12" t="str">
        <x:v>India Share = DIVIDE([India Gross], [Total Worldwide Gross])</x:v>
      </x:c>
    </x:row>
    <x:row r="8">
      <x:c r="A8" s="12" t="str">
        <x:v>Overseas Share</x:v>
      </x:c>
      <x:c r="B8" s="12" t="str">
        <x:v>Overseas Share = DIVIDE([Overseas Gross], [Total Worldwide Gross])</x:v>
      </x:c>
    </x:row>
    <x:row r="9">
      <x:c r="A9" s="12" t="str">
        <x:v>Avg Episode Runtime</x:v>
      </x:c>
      <x:c r="B9" s="12" t="str">
        <x:v>Avg Episode Runtime = AVERAGE(Fact_Episodes[runtime_min])</x:v>
      </x:c>
    </x:row>
    <x:row r="10">
      <x:c r="A10" s="12" t="str">
        <x:v>Buzz Proxy Score</x:v>
      </x:c>
      <x:c r="B10" s="12" t="str">
        <x:v>Buzz Proxy Score = AVERAGE(Fact_BuzzSignals[analyst_score_0_100])</x:v>
      </x:c>
    </x:row>
  </x:sheetData>
  <x:pageMargins left="0.7" right="0.7" top="0.75" bottom="0.75" header="0.3" footer="0.3"/>
  <x:tableParts count="1">
    <x:tablePart xmlns:r="http://schemas.openxmlformats.org/officeDocument/2006/relationships" r:id="R5c5c38a611c74eaa"/>
  </x:tableParts>
</x:worksheet>
</file>

<file path=xl/worksheets/sheet11.xml><?xml version="1.0" encoding="utf-8"?>
<x:worksheet xmlns:x="http://schemas.openxmlformats.org/spreadsheetml/2006/main">
  <x:sheetFormatPr defaultRowHeight="15"/>
  <x:cols>
    <x:col min="2" max="2" width="32" hidden="0" customWidth="1"/>
    <x:col min="3" max="3" width="56" hidden="0" customWidth="1"/>
    <x:col min="4" max="4" width="22" hidden="0" customWidth="1"/>
    <x:col min="5" max="5" width="16" hidden="0" customWidth="1"/>
    <x:col min="1" max="1" width="14" hidden="0" customWidth="1"/>
  </x:cols>
  <x:sheetData>
    <x:row r="1">
      <x:c r="A1" s="81" t="str">
        <x:v>check_id</x:v>
      </x:c>
      <x:c r="B1" s="81" t="str">
        <x:v>check_name</x:v>
      </x:c>
      <x:c r="C1" s="81" t="str">
        <x:v>formula_or_test</x:v>
      </x:c>
      <x:c r="D1" s="81" t="str">
        <x:v>expected_result</x:v>
      </x:c>
      <x:c r="E1" s="81" t="str">
        <x:v>status</x:v>
      </x:c>
    </x:row>
    <x:row r="2">
      <x:c r="A2" s="12" t="str">
        <x:v>Q001</x:v>
      </x:c>
      <x:c r="B2" s="12" t="str">
        <x:v>Film row count</x:v>
      </x:c>
      <x:c r="C2" s="12" t="str">
        <x:v>COUNTROWS/Facts count</x:v>
      </x:c>
      <x:c r="D2" s="12" t="str">
        <x:v>3 theatrical/re-release rows</x:v>
      </x:c>
      <x:c r="E2" s="12" t="str">
        <x:v>Pass</x:v>
      </x:c>
    </x:row>
    <x:row r="3">
      <x:c r="A3" s="12" t="str">
        <x:v>Q002</x:v>
      </x:c>
      <x:c r="B3" s="12" t="str">
        <x:v>BB1 world = India + Overseas</x:v>
      </x:c>
      <x:c r="C3" s="12" t="str">
        <x:v>516 + 134 = 650</x:v>
      </x:c>
      <x:c r="D3" s="12" t="str">
        <x:v>True</x:v>
      </x:c>
      <x:c r="E3" s="12" t="str">
        <x:v>Pass</x:v>
      </x:c>
    </x:row>
    <x:row r="4">
      <x:c r="A4" s="12" t="str">
        <x:v>Q003</x:v>
      </x:c>
      <x:c r="B4" s="12" t="str">
        <x:v>BB2 world = India + Overseas</x:v>
      </x:c>
      <x:c r="C4" s="12" t="str">
        <x:v>1416.90 + 371.16 = 1788.06</x:v>
      </x:c>
      <x:c r="D4" s="12" t="str">
        <x:v>True</x:v>
      </x:c>
      <x:c r="E4" s="12" t="str">
        <x:v>Pass</x:v>
      </x:c>
    </x:row>
    <x:row r="5">
      <x:c r="A5" s="12" t="str">
        <x:v>Q004</x:v>
      </x:c>
      <x:c r="B5" s="12" t="str">
        <x:v>The Epic world = India + Overseas</x:v>
      </x:c>
      <x:c r="C5" s="12" t="str">
        <x:v>39.90 + 12.25 = 52.15</x:v>
      </x:c>
      <x:c r="D5" s="12" t="str">
        <x:v>True</x:v>
      </x:c>
      <x:c r="E5" s="12" t="str">
        <x:v>Pass</x:v>
      </x:c>
    </x:row>
    <x:row r="6">
      <x:c r="A6" s="12" t="str">
        <x:v>Q005</x:v>
      </x:c>
      <x:c r="B6" s="12" t="str">
        <x:v>Torchbearer has no box-office revenue</x:v>
      </x:c>
      <x:c r="C6" s="12" t="str">
        <x:v>OTT/documentary; no theatrical gross used</x:v>
      </x:c>
      <x:c r="D6" s="12" t="str">
        <x:v>True</x:v>
      </x:c>
      <x:c r="E6" s="12" t="str">
        <x:v>Pass</x:v>
      </x:c>
    </x:row>
    <x:row r="7">
      <x:c r="A7" s="12" t="str">
        <x:v>Q006</x:v>
      </x:c>
      <x:c r="B7" s="12" t="str">
        <x:v>Buzz metrics are not raw social counts</x:v>
      </x:c>
      <x:c r="C7" s="12" t="str">
        <x:v>Flagged as analyst proxy</x:v>
      </x:c>
      <x:c r="D7" s="12" t="str">
        <x:v>True</x:v>
      </x:c>
      <x:c r="E7" s="12" t="str">
        <x:v>Pass</x:v>
      </x:c>
    </x:row>
    <x:row r="8">
      <x:c r="A8" s="12" t="str">
        <x:v>Q007</x:v>
      </x:c>
      <x:c r="B8" s="12" t="str">
        <x:v>BB2 30-day domestic nett control total</x:v>
      </x:c>
      <x:c r="C8" s="12" t="str">
        <x:v>490 + 9.5 + 265 + 77 + 104 + 55 = 1000.5</x:v>
      </x:c>
      <x:c r="D8" s="12" t="str">
        <x:v>True</x:v>
      </x:c>
      <x:c r="E8" s="12" t="str">
        <x:v>Pass</x:v>
      </x:c>
    </x:row>
    <x:row r="9">
      <x:c r="A9" s="12" t="str">
        <x:v>Q008</x:v>
      </x:c>
      <x:c r="B9" s="12" t="str">
        <x:v>Metric type governance</x:v>
      </x:c>
      <x:c r="C9" s="12" t="str">
        <x:v>Fact_BB2_StateGross is labeled Domestic nett, not worldwide gross</x:v>
      </x:c>
      <x:c r="D9" s="12" t="str">
        <x:v>True</x:v>
      </x:c>
      <x:c r="E9" s="12" t="str">
        <x:v>Pass</x:v>
      </x:c>
    </x:row>
  </x:sheetData>
  <x:conditionalFormatting sqref="E2:E7">
    <x:cfRule type="expression" dxfId="0" priority="1">
      <x:formula>E2="Pass"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90cff67fcf4ab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4" hidden="0" customWidth="1"/>
    <x:col min="5" max="5" width="28" hidden="0" customWidth="1"/>
    <x:col min="6" max="6" width="24" hidden="0" customWidth="1"/>
    <x:col min="7" max="7" width="25" hidden="0" customWidth="1"/>
    <x:col min="8" max="8" width="4" hidden="0" customWidth="1"/>
    <x:col min="9" max="9" width="17" hidden="0" customWidth="1"/>
    <x:col min="10" max="10" width="18" hidden="0" customWidth="1"/>
    <x:col min="11" max="11" width="16" hidden="0" customWidth="1"/>
  </x:cols>
  <x:sheetData>
    <x:row r="1" ht="30" customHeight="1">
      <x:c r="A1" s="111" t="str">
        <x:v>Baahubali Market Impact Dashboard</x:v>
      </x:c>
      <x:c r="B1" s="111"/>
      <x:c r="C1" s="111"/>
      <x:c r="D1" s="111"/>
      <x:c r="E1" s="111"/>
      <x:c r="F1" s="111"/>
      <x:c r="G1" s="111"/>
      <x:c r="H1" s="111"/>
      <x:c r="I1" s="111"/>
      <x:c r="J1" s="111"/>
    </x:row>
    <x:row r="2" ht="24" customHeight="1">
      <x:c r="A2" s="112" t="str">
        <x:v>Box Office Legacy • 30-Day Domestic Territory Snapshot • OTT Revival • Franchise Growth Story</x:v>
      </x:c>
      <x:c r="B2" s="113"/>
      <x:c r="C2" s="113"/>
      <x:c r="D2" s="113"/>
      <x:c r="E2" s="113"/>
      <x:c r="F2" s="113"/>
      <x:c r="G2" s="113"/>
      <x:c r="H2" s="113"/>
      <x:c r="I2" s="113"/>
      <x:c r="J2" s="113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81" t="str">
        <x:v>Metric</x:v>
      </x:c>
      <x:c r="B4" s="81" t="str">
        <x:v>Value</x:v>
      </x:c>
      <x:c r="C4" s="81" t="str">
        <x:v>Interpretation</x:v>
      </x:c>
      <x:c r="D4" s="120"/>
      <x:c r="E4" s="105" t="str">
        <x:v>Executive Insights</x:v>
      </x:c>
      <x:c r="F4" s="81"/>
      <x:c r="G4" s="81"/>
      <x:c r="H4" s="81"/>
      <x:c r="I4" s="81"/>
      <x:c r="J4" s="81"/>
    </x:row>
    <x:row r="5">
      <x:c r="A5" s="121" t="str">
        <x:v>Total Worldwide Gross (tracked films)</x:v>
      </x:c>
      <x:c r="B5" s="138" t="str">
        <x:v>₹2,490.21 Cr</x:v>
      </x:c>
      <x:c r="C5" s="120" t="str">
        <x:v>Tracked films theatrical/re-release gross in ₹ crore</x:v>
      </x:c>
      <x:c r="D5" s="120"/>
      <x:c r="E5" s="123" t="str">
        <x:v>1. Baahubali 2 is the commercial anchor of the franchise, contributing the majority of tracked gross.</x:v>
      </x:c>
      <x:c r="F5" s="123"/>
      <x:c r="G5" s="123"/>
      <x:c r="H5" s="123"/>
      <x:c r="I5" s="123"/>
      <x:c r="J5" s="123"/>
      <x:c r="K5" s="64"/>
    </x:row>
    <x:row r="6">
      <x:c r="A6" s="121" t="str">
        <x:v>Total Budget (BB1 + BB2)</x:v>
      </x:c>
      <x:c r="B6" s="138" t="str">
        <x:v>₹430.00 Cr</x:v>
      </x:c>
      <x:c r="C6" s="120" t="str">
        <x:v>Known production budget in ₹ crore; documentary/re-release budget excluded if not public</x:v>
      </x:c>
      <x:c r="D6" s="120"/>
      <x:c r="E6" s="123" t="str">
        <x:v>2. The Beginning created the pan-India base; The Conclusion scaled it into a national/global record event.</x:v>
      </x:c>
      <x:c r="F6" s="123"/>
      <x:c r="G6" s="123"/>
      <x:c r="H6" s="123"/>
      <x:c r="I6" s="123"/>
      <x:c r="J6" s="123"/>
      <x:c r="K6" s="64"/>
    </x:row>
    <x:row r="7">
      <x:c r="A7" s="121" t="str">
        <x:v>Portfolio ROI Multiple</x:v>
      </x:c>
      <x:c r="B7" s="139" t="str">
        <x:v>5.79x</x:v>
      </x:c>
      <x:c r="C7" s="120" t="str">
        <x:v>Worldwide gross / known production budget</x:v>
      </x:c>
      <x:c r="D7" s="120"/>
      <x:c r="E7" s="123" t="str">
        <x:v>3. The Epic re-release proves nostalgia has measurable box-office value and supports franchise longevity.</x:v>
      </x:c>
      <x:c r="F7" s="123"/>
      <x:c r="G7" s="123"/>
      <x:c r="H7" s="123"/>
      <x:c r="I7" s="123"/>
      <x:c r="J7" s="123"/>
      <x:c r="K7" s="64"/>
    </x:row>
    <x:row r="8">
      <x:c r="A8" s="121" t="str">
        <x:v>India Gross Share</x:v>
      </x:c>
      <x:c r="B8" s="140" t="str">
        <x:v>79.22%</x:v>
      </x:c>
      <x:c r="C8" s="120" t="str">
        <x:v>Domestic contribution to tracked gross</x:v>
      </x:c>
      <x:c r="D8" s="120"/>
      <x:c r="E8" s="123" t="str">
        <x:v>4. Torchbearer should be positioned as an OTT revival/brand-memory asset, not a box-office product.</x:v>
      </x:c>
      <x:c r="F8" s="123"/>
      <x:c r="G8" s="123"/>
      <x:c r="H8" s="123"/>
      <x:c r="I8" s="123"/>
      <x:c r="J8" s="123"/>
      <x:c r="K8" s="64"/>
    </x:row>
    <x:row r="9">
      <x:c r="A9" s="121" t="str">
        <x:v>Overseas Gross Share</x:v>
      </x:c>
      <x:c r="B9" s="140" t="str">
        <x:v>20.78%</x:v>
      </x:c>
      <x:c r="C9" s="120" t="str">
        <x:v>International contribution to tracked gross</x:v>
      </x:c>
      <x:c r="D9" s="120"/>
      <x:c r="E9" s="123" t="str">
        <x:v>5. Netflix viewership by region is not publicly available in detail; do not fabricate OTT viewership metrics.</x:v>
      </x:c>
      <x:c r="F9" s="123"/>
      <x:c r="G9" s="123"/>
      <x:c r="H9" s="123"/>
      <x:c r="I9" s="123"/>
      <x:c r="J9" s="123"/>
      <x:c r="K9" s="64"/>
    </x:row>
    <x:row r="10">
      <x:c r="A10" s="121" t="str">
        <x:v>Torchbearer Episodes</x:v>
      </x:c>
      <x:c r="B10" s="141" t="str">
        <x:v>4</x:v>
      </x:c>
      <x:c r="C10" s="120" t="str">
        <x:v>Netflix documentary series scope</x:v>
      </x:c>
      <x:c r="D10" s="120"/>
      <x:c r="E10" s="120"/>
      <x:c r="F10" s="120"/>
      <x:c r="G10" s="120"/>
      <x:c r="H10" s="120"/>
      <x:c r="I10" s="120"/>
      <x:c r="J10" s="120"/>
    </x:row>
    <x:row r="11">
      <x:c r="A11" s="121" t="str">
        <x:v>Avg Torchbearer Runtime</x:v>
      </x:c>
      <x:c r="B11" s="142" t="str">
        <x:v>30.8 min</x:v>
      </x:c>
      <x:c r="C11" s="120" t="str">
        <x:v>Average minutes per episode</x:v>
      </x:c>
      <x:c r="D11" s="120"/>
      <x:c r="E11" s="120"/>
      <x:c r="F11" s="120"/>
      <x:c r="G11" s="120"/>
      <x:c r="H11" s="120"/>
      <x:c r="I11" s="120"/>
      <x:c r="J11" s="120"/>
    </x:row>
    <x:row r="12">
      <x:c r="A12" s="121" t="str">
        <x:v>Buzz Proxy Score</x:v>
      </x:c>
      <x:c r="B12" s="143" t="str">
        <x:v>85.5</x:v>
      </x:c>
      <x:c r="C12" s="120" t="str">
        <x:v>Qualitative media proxy, not raw social volume</x:v>
      </x:c>
      <x:c r="D12" s="120"/>
      <x:c r="E12" s="120"/>
      <x:c r="F12" s="120"/>
      <x:c r="G12" s="120"/>
      <x:c r="H12" s="120"/>
      <x:c r="I12" s="120"/>
      <x:c r="J12" s="120"/>
    </x:row>
    <x:row r="13">
      <x:c r="A13" s="120"/>
      <x:c r="B13" s="120"/>
      <x:c r="C13" s="120"/>
      <x:c r="D13" s="120"/>
      <x:c r="E13" s="120"/>
      <x:c r="F13" s="120"/>
      <x:c r="G13" s="120"/>
      <x:c r="H13" s="120"/>
      <x:c r="I13" s="120"/>
      <x:c r="J13" s="120"/>
    </x:row>
    <x:row r="14">
      <x:c r="A14" s="120"/>
      <x:c r="B14" s="120"/>
      <x:c r="C14" s="120"/>
      <x:c r="D14" s="120"/>
      <x:c r="E14" s="120"/>
      <x:c r="F14" s="120"/>
      <x:c r="G14" s="120"/>
      <x:c r="H14" s="120"/>
      <x:c r="I14" s="120"/>
      <x:c r="J14" s="120"/>
    </x:row>
    <x:row r="15" ht="22" customHeight="1">
      <x:c r="A15" s="81" t="str">
        <x:v>Title</x:v>
      </x:c>
      <x:c r="B15" s="81" t="str">
        <x:v>Budget (₹ Cr)</x:v>
      </x:c>
      <x:c r="C15" s="81" t="str">
        <x:v>Worldwide Gross (₹ Cr)</x:v>
      </x:c>
      <x:c r="D15" s="120"/>
      <x:c r="E15" s="81" t="str">
        <x:v>Title</x:v>
      </x:c>
      <x:c r="F15" s="81" t="str">
        <x:v>India Gross (₹ Cr)</x:v>
      </x:c>
      <x:c r="G15" s="81" t="str">
        <x:v>Overseas Gross (₹ Cr)</x:v>
      </x:c>
      <x:c r="H15" s="120"/>
      <x:c r="I15" s="81" t="str">
        <x:v>Episode</x:v>
      </x:c>
      <x:c r="J15" s="81" t="str">
        <x:v>Runtime (min)</x:v>
      </x:c>
    </x:row>
    <x:row r="16" ht="22" customHeight="1">
      <x:c r="A16" s="120" t="str">
        <x:v>The Beginning</x:v>
      </x:c>
      <x:c r="B16" s="129" t="n">
        <x:f>Fact_Films!I2</x:f>
        <x:v>180</x:v>
      </x:c>
      <x:c r="C16" s="129" t="n">
        <x:f>Fact_Films!L2</x:f>
        <x:v>650</x:v>
      </x:c>
      <x:c r="D16" s="120"/>
      <x:c r="E16" s="120" t="str">
        <x:v>The Beginning</x:v>
      </x:c>
      <x:c r="F16" s="129" t="n">
        <x:f>Fact_Films!J2</x:f>
        <x:v>516</x:v>
      </x:c>
      <x:c r="G16" s="129" t="n">
        <x:f>Fact_Films!K2</x:f>
        <x:v>134</x:v>
      </x:c>
      <x:c r="H16" s="120"/>
      <x:c r="I16" s="120" t="str">
        <x:v>Ep 1</x:v>
      </x:c>
      <x:c r="J16" s="120" t="n">
        <x:f>Fact_Episodes!C2</x:f>
        <x:v>29</x:v>
      </x:c>
    </x:row>
    <x:row r="17" ht="22" customHeight="1">
      <x:c r="A17" s="120" t="str">
        <x:v>The Conclusion</x:v>
      </x:c>
      <x:c r="B17" s="129" t="n">
        <x:f>Fact_Films!I3</x:f>
        <x:v>250</x:v>
      </x:c>
      <x:c r="C17" s="129" t="n">
        <x:f>Fact_Films!L3</x:f>
        <x:v>1788.06</x:v>
      </x:c>
      <x:c r="D17" s="120"/>
      <x:c r="E17" s="120" t="str">
        <x:v>The Conclusion</x:v>
      </x:c>
      <x:c r="F17" s="129" t="n">
        <x:f>Fact_Films!J3</x:f>
        <x:v>1416.9</x:v>
      </x:c>
      <x:c r="G17" s="129" t="n">
        <x:f>Fact_Films!K3</x:f>
        <x:v>371.16</x:v>
      </x:c>
      <x:c r="H17" s="120"/>
      <x:c r="I17" s="120" t="str">
        <x:v>Ep 2</x:v>
      </x:c>
      <x:c r="J17" s="120" t="n">
        <x:f>Fact_Episodes!C3</x:f>
        <x:v>38</x:v>
      </x:c>
    </x:row>
    <x:row r="18" ht="22" customHeight="1">
      <x:c r="A18" s="120" t="str">
        <x:v>The Epic</x:v>
      </x:c>
      <x:c r="B18" s="129" t="str">
        <x:f>IFERROR(Fact_Films!I4,0)</x:f>
      </x:c>
      <x:c r="C18" s="129" t="n">
        <x:f>Fact_Films!L4</x:f>
        <x:v>52.15</x:v>
      </x:c>
      <x:c r="D18" s="120"/>
      <x:c r="E18" s="120" t="str">
        <x:v>The Epic</x:v>
      </x:c>
      <x:c r="F18" s="129" t="n">
        <x:f>Fact_Films!J4</x:f>
        <x:v>39.9</x:v>
      </x:c>
      <x:c r="G18" s="129" t="n">
        <x:f>Fact_Films!K4</x:f>
        <x:v>12.25</x:v>
      </x:c>
      <x:c r="H18" s="120"/>
      <x:c r="I18" s="120" t="str">
        <x:v>Ep 3</x:v>
      </x:c>
      <x:c r="J18" s="120" t="n">
        <x:f>Fact_Episodes!C4</x:f>
        <x:v>23</x:v>
      </x:c>
    </x:row>
    <x:row r="19" ht="22" customHeight="1">
      <x:c r="A19" s="120"/>
      <x:c r="B19" s="120"/>
      <x:c r="C19" s="120"/>
      <x:c r="D19" s="120"/>
      <x:c r="E19" s="120"/>
      <x:c r="F19" s="120"/>
      <x:c r="G19" s="120"/>
      <x:c r="H19" s="120"/>
      <x:c r="I19" s="120" t="str">
        <x:v>Ep 4</x:v>
      </x:c>
      <x:c r="J19" s="120" t="n">
        <x:f>Fact_Episodes!C5</x:f>
        <x:v>33</x:v>
      </x:c>
    </x:row>
    <x:row r="20" ht="22" customHeight="1">
      <x:c r="A20" s="120"/>
      <x:c r="B20" s="120"/>
      <x:c r="C20" s="120"/>
      <x:c r="D20" s="120"/>
      <x:c r="E20" s="120"/>
      <x:c r="F20" s="120"/>
      <x:c r="G20" s="120"/>
      <x:c r="H20" s="120"/>
      <x:c r="I20" s="120"/>
      <x:c r="J20" s="120"/>
    </x:row>
    <x:row r="21" ht="22" customHeight="1">
      <x:c r="A21" s="120"/>
      <x:c r="B21" s="120"/>
      <x:c r="C21" s="120"/>
      <x:c r="D21" s="120"/>
      <x:c r="E21" s="120"/>
      <x:c r="F21" s="120"/>
      <x:c r="G21" s="120"/>
      <x:c r="H21" s="120"/>
      <x:c r="I21" s="120"/>
      <x:c r="J21" s="120"/>
    </x:row>
    <x:row r="22" ht="22" customHeight="1">
      <x:c r="A22" s="81" t="str">
        <x:v>Territory / Segment</x:v>
      </x:c>
      <x:c r="B22" s="81" t="str">
        <x:v>BB2 30-Day Domestic Nett (₹ Cr)</x:v>
      </x:c>
      <x:c r="C22" s="81" t="str">
        <x:v>Source Basis</x:v>
      </x:c>
      <x:c r="D22" s="120"/>
      <x:c r="E22" s="130" t="str">
        <x:v>Signal Type</x:v>
      </x:c>
      <x:c r="F22" s="130" t="str">
        <x:v>Proxy Score</x:v>
      </x:c>
      <x:c r="G22" s="120"/>
      <x:c r="H22" s="120"/>
      <x:c r="I22" s="120"/>
      <x:c r="J22" s="120"/>
    </x:row>
    <x:row r="23" ht="22" customHeight="1">
      <x:c r="A23" s="120" t="str">
        <x:v>Hindi version</x:v>
      </x:c>
      <x:c r="B23" s="144" t="str">
        <x:v>₹490.00 Cr</x:v>
      </x:c>
      <x:c r="C23" s="120" t="str">
        <x:v>TOI / BoxofficeIndia.com</x:v>
      </x:c>
      <x:c r="D23" s="120"/>
      <x:c r="E23" s="120" t="str">
        <x:v>Release anticipation</x:v>
      </x:c>
      <x:c r="F23" s="120" t="n">
        <x:f>Fact_BuzzSignals!E2</x:f>
        <x:v>82</x:v>
      </x:c>
      <x:c r="G23" s="120"/>
      <x:c r="H23" s="120"/>
      <x:c r="I23" s="120"/>
      <x:c r="J23" s="120"/>
    </x:row>
    <x:row r="24" ht="22" customHeight="1">
      <x:c r="A24" s="120" t="str">
        <x:v>Dubbed version balance</x:v>
      </x:c>
      <x:c r="B24" s="144" t="str">
        <x:v>₹9.50 Cr</x:v>
      </x:c>
      <x:c r="C24" s="120" t="str">
        <x:v>TOI / BoxofficeIndia.com</x:v>
      </x:c>
      <x:c r="D24" s="120"/>
      <x:c r="E24" s="120" t="str">
        <x:v>Positive fan reaction</x:v>
      </x:c>
      <x:c r="F24" s="120" t="n">
        <x:f>Fact_BuzzSignals!E3</x:f>
        <x:v>88</x:v>
      </x:c>
      <x:c r="G24" s="120"/>
      <x:c r="H24" s="120"/>
      <x:c r="I24" s="120"/>
      <x:c r="J24" s="120"/>
    </x:row>
    <x:row r="25" ht="22" customHeight="1">
      <x:c r="A25" s="120" t="str">
        <x:v>Nizam &amp; Andhra Pradesh</x:v>
      </x:c>
      <x:c r="B25" s="144" t="str">
        <x:v>₹265.00 Cr</x:v>
      </x:c>
      <x:c r="C25" s="120" t="str">
        <x:v>TOI / BoxofficeIndia.com</x:v>
      </x:c>
      <x:c r="D25" s="120"/>
      <x:c r="E25" s="120" t="str">
        <x:v>Baahubali 3 speculation</x:v>
      </x:c>
      <x:c r="F25" s="120" t="n">
        <x:f>Fact_BuzzSignals!E4</x:f>
        <x:v>92</x:v>
      </x:c>
      <x:c r="G25" s="120"/>
      <x:c r="H25" s="120"/>
      <x:c r="I25" s="120"/>
      <x:c r="J25" s="120"/>
    </x:row>
    <x:row r="26" ht="22" customHeight="1">
      <x:c r="A26" s="120" t="str">
        <x:v>Karnataka &amp; Mysore</x:v>
      </x:c>
      <x:c r="B26" s="144" t="str">
        <x:v>₹77.00 Cr</x:v>
      </x:c>
      <x:c r="C26" s="120" t="str">
        <x:v>TOI / BoxofficeIndia.com</x:v>
      </x:c>
      <x:c r="D26" s="120"/>
      <x:c r="E26" s="120" t="str">
        <x:v>Re-release demand</x:v>
      </x:c>
      <x:c r="F26" s="120" t="n">
        <x:f>Fact_BuzzSignals!E5</x:f>
        <x:v>80</x:v>
      </x:c>
      <x:c r="G26" s="120"/>
      <x:c r="H26" s="120"/>
      <x:c r="I26" s="120"/>
      <x:c r="J26" s="120"/>
    </x:row>
    <x:row r="27" ht="22" customHeight="1">
      <x:c r="A27" s="120" t="str">
        <x:v>Tamil Nadu</x:v>
      </x:c>
      <x:c r="B27" s="144" t="str">
        <x:v>₹104.00 Cr</x:v>
      </x:c>
      <x:c r="C27" s="120" t="str">
        <x:v>TOI / BoxofficeIndia.com</x:v>
      </x:c>
      <x:c r="D27" s="120"/>
      <x:c r="E27" s="120"/>
      <x:c r="F27" s="120"/>
      <x:c r="G27" s="120"/>
      <x:c r="H27" s="120"/>
      <x:c r="I27" s="120"/>
      <x:c r="J27" s="120"/>
    </x:row>
    <x:row r="28" ht="22" customHeight="1">
      <x:c r="A28" s="120" t="str">
        <x:v>Kerala</x:v>
      </x:c>
      <x:c r="B28" s="144" t="str">
        <x:v>₹55.00 Cr</x:v>
      </x:c>
      <x:c r="C28" s="120" t="str">
        <x:v>TOI / BoxofficeIndia.com</x:v>
      </x:c>
      <x:c r="D28" s="120"/>
      <x:c r="E28" s="120"/>
      <x:c r="F28" s="120"/>
      <x:c r="G28" s="120"/>
      <x:c r="H28" s="120"/>
      <x:c r="I28" s="120"/>
      <x:c r="J28" s="120"/>
    </x:row>
    <x:row r="29" ht="22" customHeight="1">
      <x:c r="A29" s="120" t="str">
        <x:v>Reported domestic total</x:v>
      </x:c>
      <x:c r="B29" s="144" t="str">
        <x:v>₹1,000.50 Cr</x:v>
      </x:c>
      <x:c r="C29" s="120" t="str">
        <x:v>TOI / BoxofficeIndia.com</x:v>
      </x:c>
      <x:c r="D29" s="120"/>
      <x:c r="E29" s="120"/>
      <x:c r="F29" s="120"/>
      <x:c r="G29" s="120"/>
      <x:c r="H29" s="120"/>
      <x:c r="I29" s="120"/>
      <x:c r="J29" s="120"/>
    </x:row>
    <x:row r="30">
      <x:c r="A30" s="120"/>
      <x:c r="B30" s="120"/>
      <x:c r="C30" s="120"/>
      <x:c r="D30" s="120"/>
      <x:c r="E30" s="120"/>
      <x:c r="F30" s="120"/>
      <x:c r="G30" s="120"/>
      <x:c r="H30" s="120"/>
      <x:c r="I30" s="120"/>
      <x:c r="J30" s="120"/>
    </x:row>
    <x:row r="31" ht="48" customHeight="1">
      <x:c r="A31" s="132" t="str">
        <x:v>Data-quality note: BB2 30-day territory values are domestic nett figures reported by Times of India citing BoxofficeIndia.com; they are not the same metric as worldwide gross. OTT/social metrics are represented only where publicly sourced; no private Netflix or X/Twitter data is fabricated.</x:v>
      </x:c>
      <x:c r="B31" s="132"/>
      <x:c r="C31" s="132"/>
      <x:c r="D31" s="132"/>
      <x:c r="E31" s="132"/>
      <x:c r="F31" s="132"/>
      <x:c r="G31" s="132"/>
      <x:c r="H31" s="132"/>
      <x:c r="I31" s="132"/>
      <x:c r="J31" s="132"/>
    </x:row>
  </x:sheetData>
  <x:mergeCells>
    <x:mergeCell ref="E4:K4"/>
    <x:mergeCell ref="E5:K5"/>
    <x:mergeCell ref="E6:K6"/>
    <x:mergeCell ref="E7:K7"/>
    <x:mergeCell ref="E8:K8"/>
    <x:mergeCell ref="E9:K9"/>
    <x:mergeCell ref="A1:J1"/>
    <x:mergeCell ref="A2:J2"/>
    <x:mergeCell ref="A31:J31"/>
  </x:mergeCells>
  <x:pageMargins left="0.7" right="0.7" top="0.75" bottom="0.75" header="0.3" footer="0.3"/>
  <x:drawing xmlns:r="http://schemas.openxmlformats.org/officeDocument/2006/relationships" r:id="R89598fddc39d4221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38" hidden="0" customWidth="1"/>
    <x:col min="5" max="5" width="28" hidden="0" customWidth="1"/>
    <x:col min="6" max="6" width="44" hidden="0" customWidth="1"/>
  </x:cols>
  <x:sheetData>
    <x:row r="1">
      <x:c r="A1" s="81" t="str">
        <x:v>page</x:v>
      </x:c>
      <x:c r="B1" s="81" t="str">
        <x:v>visual</x:v>
      </x:c>
      <x:c r="C1" s="81" t="str">
        <x:v>purpose</x:v>
      </x:c>
      <x:c r="D1" s="81" t="str">
        <x:v>fields/measures</x:v>
      </x:c>
      <x:c r="E1" s="81" t="str">
        <x:v>filters/slicers</x:v>
      </x:c>
      <x:c r="F1" s="81" t="str">
        <x:v>notes</x:v>
      </x:c>
    </x:row>
    <x:row r="2">
      <x:c r="A2" s="12" t="str">
        <x:v>Executive Overview</x:v>
      </x:c>
      <x:c r="B2" s="12" t="str">
        <x:v>KPI Cards</x:v>
      </x:c>
      <x:c r="C2" s="12" t="str">
        <x:v>Headline franchise performance</x:v>
      </x:c>
      <x:c r="D2" s="12" t="str">
        <x:v>Total Worldwide Gross; Total Budget; ROI Multiple; India Share; Overseas Share; Buzz Proxy Score</x:v>
      </x:c>
      <x:c r="E2" s="12" t="str">
        <x:v>Film Type; Release Year</x:v>
      </x:c>
      <x:c r="F2" s="12" t="str">
        <x:v>Use dark-blue/gold theme.</x:v>
      </x:c>
    </x:row>
    <x:row r="3">
      <x:c r="A3" s="12" t="str">
        <x:v>Executive Overview</x:v>
      </x:c>
      <x:c r="B3" s="12" t="str">
        <x:v>Clustered Column Chart</x:v>
      </x:c>
      <x:c r="C3" s="12" t="str">
        <x:v>Compare budget vs gross by film</x:v>
      </x:c>
      <x:c r="D3" s="12" t="str">
        <x:v>Title; Budget Cr; Worldwide Gross Cr</x:v>
      </x:c>
      <x:c r="E3" s="12" t="str">
        <x:v>Content Type</x:v>
      </x:c>
      <x:c r="F3" s="12" t="str">
        <x:v>Use log scale only if visual imbalance is too high.</x:v>
      </x:c>
    </x:row>
    <x:row r="4">
      <x:c r="A4" s="12" t="str">
        <x:v>Market Breakdown</x:v>
      </x:c>
      <x:c r="B4" s="12" t="str">
        <x:v>Stacked Bar Chart</x:v>
      </x:c>
      <x:c r="C4" s="12" t="str">
        <x:v>India vs overseas split</x:v>
      </x:c>
      <x:c r="D4" s="12" t="str">
        <x:v>Title; India Gross; Overseas Gross</x:v>
      </x:c>
      <x:c r="E4" s="12" t="str">
        <x:v>Film</x:v>
      </x:c>
      <x:c r="F4" s="12" t="str">
        <x:v>Explain internationalization of franchise.</x:v>
      </x:c>
    </x:row>
    <x:row r="5">
      <x:c r="A5" s="12" t="str">
        <x:v>30-Day Territory Snapshot</x:v>
      </x:c>
      <x:c r="B5" s="12" t="str">
        <x:v>Stacked/Bar Chart</x:v>
      </x:c>
      <x:c r="C5" s="12" t="str">
        <x:v>BB2 one-month domestic territory distribution</x:v>
      </x:c>
      <x:c r="D5" s="12" t="str">
        <x:v>Territory; Collection Cr; Metric Type</x:v>
      </x:c>
      <x:c r="E5" s="12" t="str">
        <x:v>Period = 30 days</x:v>
      </x:c>
      <x:c r="F5" s="12" t="str">
        <x:v>Use Fact_BB2_StateGross. Label as domestic nett, not worldwide gross.</x:v>
      </x:c>
    </x:row>
    <x:row r="6">
      <x:c r="A6" s="12" t="str">
        <x:v>OTT Revival</x:v>
      </x:c>
      <x:c r="B6" s="12" t="str">
        <x:v>Bar/Line Chart</x:v>
      </x:c>
      <x:c r="C6" s="12" t="str">
        <x:v>Episode runtime and release impact</x:v>
      </x:c>
      <x:c r="D6" s="12" t="str">
        <x:v>Episode Title; Runtime; Buzz Signal Score</x:v>
      </x:c>
      <x:c r="E6" s="12" t="str">
        <x:v>Signal Type</x:v>
      </x:c>
      <x:c r="F6" s="12" t="str">
        <x:v>Do not present proxy scores as actual social counts.</x:v>
      </x:c>
    </x:row>
    <x:row r="7">
      <x:c r="A7" s="12" t="str">
        <x:v>Source Governance</x:v>
      </x:c>
      <x:c r="B7" s="12" t="str">
        <x:v>Table</x:v>
      </x:c>
      <x:c r="C7" s="12" t="str">
        <x:v>Show source traceability</x:v>
      </x:c>
      <x:c r="D7" s="12" t="str">
        <x:v>Source Name; URL; What Used; Reliability Note</x:v>
      </x:c>
      <x:c r="E7" s="12" t="str">
        <x:v>Source Type</x:v>
      </x:c>
      <x:c r="F7" s="12" t="str">
        <x:v>Critical for accuracy.</x:v>
      </x:c>
    </x:row>
  </x:sheetData>
  <x:pageMargins left="0.7" right="0.7" top="0.75" bottom="0.75" header="0.3" footer="0.3"/>
  <x:tableParts count="1">
    <x:tablePart xmlns:r="http://schemas.openxmlformats.org/officeDocument/2006/relationships" r:id="Rca6a29b8f9994ea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37" t="str">
        <x:v>Baahubali Market Impact Analytics Project — README</x:v>
      </x:c>
      <x:c r="B1" s="81"/>
    </x:row>
    <x:row r="2">
      <x:c r="A2" s="12"/>
      <x:c r="B2" s="12"/>
    </x:row>
    <x:row r="3">
      <x:c r="A3" s="4" t="str">
        <x:v>Section</x:v>
      </x:c>
      <x:c r="B3" s="4" t="str">
        <x:v>Details</x:v>
      </x:c>
    </x:row>
    <x:row r="4">
      <x:c r="A4" s="38" t="str">
        <x:v>Purpose</x:v>
      </x:c>
      <x:c r="B4" s="12" t="str">
        <x:v>Build a senior-analyst style dashboard that evaluates Baahubali’s market impact across box office legacy, re-release value, OTT revival and fan-buzz signals.</x:v>
      </x:c>
    </x:row>
    <x:row r="5">
      <x:c r="A5" s="38" t="str">
        <x:v>Primary Deliverable</x:v>
      </x:c>
      <x:c r="B5" s="12" t="str">
        <x:v>Excel workbook with sourced facts, dashboard, data dictionary, Power BI spec, DAX measures, BigQuery/SQL playbook and QA checks.</x:v>
      </x:c>
    </x:row>
    <x:row r="6">
      <x:c r="A6" s="38" t="str">
        <x:v>Important Limitation</x:v>
      </x:c>
      <x:c r="B6" s="12" t="str">
        <x:v>Netflix viewership and full social media volume are not publicly available from official sources. This project does not invent those metrics; it uses only public facts and clearly marked qualitative proxy signals.</x:v>
      </x:c>
    </x:row>
    <x:row r="7">
      <x:c r="A7" s="38" t="str">
        <x:v>Recommended Next Step</x:v>
      </x:c>
      <x:c r="B7" s="12" t="str">
        <x:v>If building in Power BI, import all Fact_* sheets as tables, create measures from DAX_Measures, and recreate Dashboard visuals using PowerBI_Dashboard_Spec.</x:v>
      </x:c>
    </x:row>
    <x:row r="8">
      <x:c r="A8" s="38" t="str">
        <x:v>Portfolio Story</x:v>
      </x:c>
      <x:c r="B8" s="12" t="str">
        <x:v>Baahubali 1 created the pan-India platform; Baahubali 2 monetized it at record scale; The Epic proves re-release demand; Torchbearer revives brand memory and sequel speculation.</x:v>
      </x:c>
    </x:row>
    <x:row r="9">
      <x:c r="A9" s="38" t="str">
        <x:v>Built For</x:v>
      </x:c>
      <x:c r="B9" s="12" t="str">
        <x:v>Data Analyst / BI Analyst portfolio, Google-style analytics discussion, SQL/BigQuery practice, dashboard storytelling.</x:v>
      </x:c>
    </x:row>
    <x:row r="10">
      <x:c r="A10" s="12" t="str">
        <x:v>Revision note</x:v>
      </x:c>
      <x:c r="B10" s="12" t="str">
        <x:v>Updated Fact_BB2_StateGross from first five days to a one-month / 30-day domestic nett territory snapshot, using Times of India report citing BoxofficeIndia.com.</x:v>
      </x:c>
    </x:row>
    <x:row r="11">
      <x:c r="A11" s="12" t="str">
        <x:v>Units governance</x:v>
      </x:c>
      <x:c r="B11" s="12" t="str">
        <x:v>Dashboard KPI cards and territory table now show ₹ Cr units clearly; bottom column labels widened/wrapped for complete visibility.</x:v>
      </x:c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3" hidden="0" customWidth="1"/>
    <x:col min="8" max="8" width="24" hidden="0" customWidth="1"/>
    <x:col min="9" max="9" width="14" hidden="0" customWidth="1"/>
    <x:col min="10" max="10" width="32" hidden="0" customWidth="1"/>
    <x:col min="11" max="11" width="3" hidden="0" customWidth="1"/>
    <x:col min="12" max="12" width="14" hidden="0" customWidth="1"/>
    <x:col min="13" max="13" width="14" hidden="0" customWidth="1"/>
    <x:col min="14" max="14" width="1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153" t="str">
        <x:v>BAAHUBALI MARKET IMPACT DASHBOARD</x:v>
      </x:c>
      <x:c r="B1" s="153"/>
      <x:c r="C1" s="153"/>
      <x:c r="D1" s="153"/>
      <x:c r="E1" s="153"/>
      <x:c r="F1" s="153"/>
      <x:c r="G1" s="153"/>
      <x:c r="H1" s="153"/>
      <x:c r="I1" s="153"/>
      <x:c r="J1" s="153"/>
      <x:c r="K1" s="153"/>
      <x:c r="L1" s="153"/>
      <x:c r="M1" s="153"/>
      <x:c r="N1" s="153"/>
      <x:c r="P1" s="192" t="str">
        <x:v>Title</x:v>
      </x:c>
      <x:c r="Q1" s="192" t="str">
        <x:v>Budget_Cr</x:v>
      </x:c>
      <x:c r="R1" s="192" t="str">
        <x:v>Worldwide_Gross_Cr</x:v>
      </x:c>
      <x:c r="S1" s="192" t="str">
        <x:v>India_Gross_Cr</x:v>
      </x:c>
      <x:c r="T1" s="192" t="str">
        <x:v>Overseas_Gross_Cr</x:v>
      </x:c>
      <x:c r="U1" s="192" t="str">
        <x:v>ROI_If_Budget_Available</x:v>
      </x:c>
      <x:c r="V1" s="192" t="str">
        <x:v>Year</x:v>
      </x:c>
      <x:c r="W1" s="192" t="str">
        <x:v>Event</x:v>
      </x:c>
      <x:c r="X1" s="192" t="str">
        <x:v>Role in Market Story</x:v>
      </x:c>
    </x:row>
    <x:row r="2" ht="22" customHeight="1">
      <x:c r="A2" s="157" t="str">
        <x:v>Prestige analytics view: Box Office Legacy • 30-Day Domestic Nett • Market Split • OTT Revival Signals</x:v>
      </x:c>
      <x:c r="B2" s="157"/>
      <x:c r="C2" s="157"/>
      <x:c r="D2" s="157"/>
      <x:c r="E2" s="157"/>
      <x:c r="F2" s="157"/>
      <x:c r="G2" s="157"/>
      <x:c r="H2" s="157"/>
      <x:c r="I2" s="157"/>
      <x:c r="J2" s="157"/>
      <x:c r="K2" s="157"/>
      <x:c r="L2" s="157"/>
      <x:c r="M2" s="157"/>
      <x:c r="N2" s="157"/>
      <x:c r="P2" s="194" t="str">
        <x:v>The Beginning</x:v>
      </x:c>
      <x:c r="Q2" s="194" t="n">
        <x:v>180</x:v>
      </x:c>
      <x:c r="R2" s="194" t="n">
        <x:v>650</x:v>
      </x:c>
      <x:c r="S2" s="194" t="n">
        <x:v>516</x:v>
      </x:c>
      <x:c r="T2" s="194" t="n">
        <x:v>134</x:v>
      </x:c>
      <x:c r="U2" s="194" t="n">
        <x:v>3.611111111111111</x:v>
      </x:c>
      <x:c r="V2" s="194" t="n">
        <x:v>2015</x:v>
      </x:c>
      <x:c r="W2" s="194" t="str">
        <x:v>Baahubali: The Beginning</x:v>
      </x:c>
      <x:c r="X2" s="194" t="str">
        <x:v>Pan-India theatrical foundation</x:v>
      </x:c>
    </x:row>
    <x:row r="3">
      <x:c r="P3" s="194" t="str">
        <x:v>The Conclusion</x:v>
      </x:c>
      <x:c r="Q3" s="194" t="n">
        <x:v>250</x:v>
      </x:c>
      <x:c r="R3" s="194" t="n">
        <x:v>1788.06</x:v>
      </x:c>
      <x:c r="S3" s="194" t="n">
        <x:v>1416.9</x:v>
      </x:c>
      <x:c r="T3" s="194" t="n">
        <x:v>371.16</x:v>
      </x:c>
      <x:c r="U3" s="194" t="n">
        <x:v>7.15224</x:v>
      </x:c>
      <x:c r="V3" s="194" t="n">
        <x:v>2017</x:v>
      </x:c>
      <x:c r="W3" s="194" t="str">
        <x:v>Baahubali 2: The Conclusion</x:v>
      </x:c>
      <x:c r="X3" s="194" t="str">
        <x:v>Franchise peak and record-level scaling</x:v>
      </x:c>
    </x:row>
    <x:row r="4" ht="38" customHeight="1">
      <x:c r="A4" s="164" t="str">
        <x:v>Tracked Worldwide Gross</x:v>
      </x:c>
      <x:c r="B4" s="164"/>
      <x:c r="C4" s="164" t="str">
        <x:v>Known Production Budget</x:v>
      </x:c>
      <x:c r="D4" s="164"/>
      <x:c r="E4" s="164" t="str">
        <x:v>Known-Budget ROI</x:v>
      </x:c>
      <x:c r="F4" s="164"/>
      <x:c r="G4" s="164" t="str">
        <x:v>BB2 30-Day Domestic Nett</x:v>
      </x:c>
      <x:c r="H4" s="164"/>
      <x:c r="I4" s="164" t="str">
        <x:v>Torchbearer Episodes</x:v>
      </x:c>
      <x:c r="J4" s="164"/>
      <x:c r="K4" s="164" t="str">
        <x:v>Avg Buzz Proxy Score</x:v>
      </x:c>
      <x:c r="L4" s="164"/>
      <x:c r="M4" s="164"/>
      <x:c r="N4" s="164"/>
      <x:c r="P4" s="194" t="str">
        <x:v>The Epic</x:v>
      </x:c>
      <x:c r="Q4" s="194" t="n">
        <x:v>0</x:v>
      </x:c>
      <x:c r="R4" s="194" t="n">
        <x:v>52.15</x:v>
      </x:c>
      <x:c r="S4" s="194" t="n">
        <x:v>39.9</x:v>
      </x:c>
      <x:c r="T4" s="194" t="n">
        <x:v>12.25</x:v>
      </x:c>
      <x:c r="U4" s="194"/>
      <x:c r="V4" s="194" t="n">
        <x:v>2025</x:v>
      </x:c>
      <x:c r="W4" s="194" t="str">
        <x:v>Baahubali: The Epic</x:v>
      </x:c>
      <x:c r="X4" s="194" t="str">
        <x:v>Nostalgia monetization via re-release</x:v>
      </x:c>
    </x:row>
    <x:row r="5" ht="38" customHeight="1">
      <x:c r="A5" s="165" t="str">
        <x:v>₹2,490.21 Cr</x:v>
      </x:c>
      <x:c r="B5" s="165"/>
      <x:c r="C5" s="165" t="str">
        <x:v>₹430.00 Cr</x:v>
      </x:c>
      <x:c r="D5" s="165"/>
      <x:c r="E5" s="165" t="str">
        <x:v>5.67x</x:v>
      </x:c>
      <x:c r="F5" s="165"/>
      <x:c r="G5" s="165" t="str">
        <x:v>₹1,000.50 Cr</x:v>
      </x:c>
      <x:c r="H5" s="165"/>
      <x:c r="I5" s="165" t="str">
        <x:v>4</x:v>
      </x:c>
      <x:c r="J5" s="165"/>
      <x:c r="K5" s="165" t="str">
        <x:v>85.5 / 100</x:v>
      </x:c>
      <x:c r="L5" s="165"/>
      <x:c r="M5" s="165"/>
      <x:c r="N5" s="165"/>
      <x:c r="P5" s="194"/>
      <x:c r="Q5" s="194"/>
      <x:c r="R5" s="194"/>
      <x:c r="S5" s="194"/>
      <x:c r="T5" s="194"/>
      <x:c r="U5" s="194"/>
      <x:c r="V5" s="194" t="n">
        <x:v>2026</x:v>
      </x:c>
      <x:c r="W5" s="194" t="str">
        <x:v>Bāhubali: The Torch Bearer</x:v>
      </x:c>
      <x:c r="X5" s="194" t="str">
        <x:v>OTT brand revival / documentary storytelling</x:v>
      </x:c>
    </x:row>
    <x:row r="6" ht="38" customHeight="1">
      <x:c r="A6" s="167" t="str">
        <x:v>BB1 + BB2 + The Epic</x:v>
      </x:c>
      <x:c r="B6" s="167"/>
      <x:c r="C6" s="167" t="str">
        <x:v>BB1 + BB2 only</x:v>
      </x:c>
      <x:c r="D6" s="167"/>
      <x:c r="E6" s="167" t="str">
        <x:v>(BB1 + BB2 gross) / budget</x:v>
      </x:c>
      <x:c r="F6" s="167"/>
      <x:c r="G6" s="167" t="str">
        <x:v>Domestic nett, 30 days</x:v>
      </x:c>
      <x:c r="H6" s="167"/>
      <x:c r="I6" s="167" t="str">
        <x:v>Netflix documentary scope</x:v>
      </x:c>
      <x:c r="J6" s="167"/>
      <x:c r="K6" s="167" t="str">
        <x:v>Qualitative media proxy</x:v>
      </x:c>
      <x:c r="L6" s="167"/>
      <x:c r="M6" s="167"/>
      <x:c r="N6" s="167"/>
      <x:c r="P6" s="194"/>
      <x:c r="Q6" s="194"/>
      <x:c r="R6" s="194"/>
      <x:c r="S6" s="194"/>
      <x:c r="T6" s="194"/>
      <x:c r="U6" s="194"/>
      <x:c r="V6" s="194"/>
      <x:c r="W6" s="194"/>
      <x:c r="X6" s="194"/>
    </x:row>
    <x:row r="7">
      <x:c r="P7" s="192" t="str">
        <x:v>Territory</x:v>
      </x:c>
      <x:c r="Q7" s="192" t="str">
        <x:v>Domestic_Nett_30D_Cr</x:v>
      </x:c>
      <x:c r="R7" s="194"/>
      <x:c r="S7" s="192" t="str">
        <x:v>Signal_Type</x:v>
      </x:c>
      <x:c r="T7" s="192" t="str">
        <x:v>Proxy_Score</x:v>
      </x:c>
      <x:c r="U7" s="194"/>
      <x:c r="V7" s="194"/>
      <x:c r="W7" s="194"/>
      <x:c r="X7" s="194"/>
    </x:row>
    <x:row r="8" ht="22" customHeight="1">
      <x:c r="A8" s="170" t="str">
        <x:v>Executive Storyline</x:v>
      </x:c>
      <x:c r="B8" s="170"/>
      <x:c r="C8" s="170"/>
      <x:c r="D8" s="170"/>
      <x:c r="E8" s="170"/>
      <x:c r="F8" s="170"/>
      <x:c r="G8" s="170"/>
      <x:c r="H8" s="170"/>
      <x:c r="I8" s="170"/>
      <x:c r="J8" s="170"/>
      <x:c r="K8" s="170"/>
      <x:c r="L8" s="170"/>
      <x:c r="M8" s="170"/>
      <x:c r="N8" s="170"/>
      <x:c r="P8" s="194" t="str">
        <x:v>Hindi version</x:v>
      </x:c>
      <x:c r="Q8" s="194" t="n">
        <x:v>490</x:v>
      </x:c>
      <x:c r="R8" s="194"/>
      <x:c r="S8" s="194" t="str">
        <x:v>Release anticipation</x:v>
      </x:c>
      <x:c r="T8" s="194" t="n">
        <x:v>82</x:v>
      </x:c>
      <x:c r="U8" s="194"/>
      <x:c r="V8" s="194"/>
      <x:c r="W8" s="194"/>
      <x:c r="X8" s="194"/>
    </x:row>
    <x:row r="9" ht="52" customHeight="1">
      <x:c r="A9" s="174" t="str">
        <x:v>Baahubali is analyzed as a franchise-market case: The Beginning created the pan-India base, The Conclusion scaled the franchise into a record-level commercial event, The Epic re-release showed nostalgia monetization, and The Torchbearer acts as an OTT brand-memory asset. All currency metrics are in ₹ crore. BB2 30-day state/territory values are domestic nett and are intentionally separated from worldwide gross.</x:v>
      </x:c>
      <x:c r="B9" s="174"/>
      <x:c r="C9" s="174"/>
      <x:c r="D9" s="174"/>
      <x:c r="E9" s="174"/>
      <x:c r="F9" s="174"/>
      <x:c r="G9" s="174"/>
      <x:c r="H9" s="174"/>
      <x:c r="I9" s="174"/>
      <x:c r="J9" s="174"/>
      <x:c r="K9" s="174"/>
      <x:c r="L9" s="174"/>
      <x:c r="M9" s="174"/>
      <x:c r="N9" s="174"/>
      <x:c r="P9" s="194" t="str">
        <x:v>Dubbed version balance</x:v>
      </x:c>
      <x:c r="Q9" s="194" t="n">
        <x:v>9.5</x:v>
      </x:c>
      <x:c r="R9" s="194"/>
      <x:c r="S9" s="194" t="str">
        <x:v>Positive fan reaction</x:v>
      </x:c>
      <x:c r="T9" s="194" t="n">
        <x:v>88</x:v>
      </x:c>
      <x:c r="U9" s="194"/>
      <x:c r="V9" s="194"/>
      <x:c r="W9" s="194"/>
      <x:c r="X9" s="194"/>
    </x:row>
    <x:row r="10" ht="52" customHeight="1">
      <x:c r="A10" s="174"/>
      <x:c r="B10" s="174"/>
      <x:c r="C10" s="174"/>
      <x:c r="D10" s="174"/>
      <x:c r="E10" s="174"/>
      <x:c r="F10" s="174"/>
      <x:c r="G10" s="174"/>
      <x:c r="H10" s="174"/>
      <x:c r="I10" s="174"/>
      <x:c r="J10" s="174"/>
      <x:c r="K10" s="174"/>
      <x:c r="L10" s="174"/>
      <x:c r="M10" s="174"/>
      <x:c r="N10" s="174"/>
      <x:c r="P10" s="194" t="str">
        <x:v>Nizam &amp; Andhra Pradesh</x:v>
      </x:c>
      <x:c r="Q10" s="194" t="n">
        <x:v>265</x:v>
      </x:c>
      <x:c r="R10" s="194"/>
      <x:c r="S10" s="194" t="str">
        <x:v>Baahubali 3 speculation</x:v>
      </x:c>
      <x:c r="T10" s="194" t="n">
        <x:v>92</x:v>
      </x:c>
      <x:c r="U10" s="194"/>
      <x:c r="V10" s="194"/>
      <x:c r="W10" s="194"/>
      <x:c r="X10" s="194"/>
    </x:row>
    <x:row r="11" ht="52" customHeight="1">
      <x:c r="A11" s="174"/>
      <x:c r="B11" s="174"/>
      <x:c r="C11" s="174"/>
      <x:c r="D11" s="174"/>
      <x:c r="E11" s="174"/>
      <x:c r="F11" s="174"/>
      <x:c r="G11" s="174"/>
      <x:c r="H11" s="174"/>
      <x:c r="I11" s="174"/>
      <x:c r="J11" s="174"/>
      <x:c r="K11" s="174"/>
      <x:c r="L11" s="174"/>
      <x:c r="M11" s="174"/>
      <x:c r="N11" s="174"/>
      <x:c r="P11" s="194" t="str">
        <x:v>Karnataka &amp; Mysore</x:v>
      </x:c>
      <x:c r="Q11" s="194" t="n">
        <x:v>77</x:v>
      </x:c>
      <x:c r="R11" s="194"/>
      <x:c r="S11" s="194" t="str">
        <x:v>Re-release demand</x:v>
      </x:c>
      <x:c r="T11" s="194" t="n">
        <x:v>80</x:v>
      </x:c>
      <x:c r="U11" s="194"/>
      <x:c r="V11" s="194"/>
      <x:c r="W11" s="194"/>
      <x:c r="X11" s="194"/>
    </x:row>
    <x:row r="12" ht="22" customHeight="1">
      <x:c r="A12" s="170" t="str">
        <x:v>Film-Level Financial Performance</x:v>
      </x:c>
      <x:c r="B12" s="170"/>
      <x:c r="C12" s="170"/>
      <x:c r="D12" s="170"/>
      <x:c r="E12" s="170"/>
      <x:c r="F12" s="170"/>
      <x:c r="H12" s="170" t="str">
        <x:v>India vs Overseas Market Split</x:v>
      </x:c>
      <x:c r="I12" s="170"/>
      <x:c r="J12" s="170"/>
      <x:c r="K12" s="170"/>
      <x:c r="L12" s="170"/>
      <x:c r="M12" s="170"/>
      <x:c r="N12" s="170"/>
      <x:c r="P12" s="194" t="str">
        <x:v>Tamil Nadu</x:v>
      </x:c>
      <x:c r="Q12" s="194" t="n">
        <x:v>104</x:v>
      </x:c>
      <x:c r="R12" s="194"/>
      <x:c r="S12" s="194"/>
      <x:c r="T12" s="194"/>
      <x:c r="U12" s="194"/>
      <x:c r="V12" s="194"/>
      <x:c r="W12" s="194"/>
      <x:c r="X12" s="194"/>
    </x:row>
    <x:row r="13" ht="20" customHeight="1">
      <x:c r="A13" s="178" t="str">
        <x:v>Title</x:v>
      </x:c>
      <x:c r="B13" s="178" t="str">
        <x:v>Budget (₹ Cr)</x:v>
      </x:c>
      <x:c r="C13" s="178" t="str">
        <x:v>Worldwide Gross (₹ Cr)</x:v>
      </x:c>
      <x:c r="D13" s="178" t="str">
        <x:v>India Gross (₹ Cr)</x:v>
      </x:c>
      <x:c r="E13" s="178" t="str">
        <x:v>Overseas Gross (₹ Cr)</x:v>
      </x:c>
      <x:c r="F13" s="178" t="str">
        <x:v>ROI</x:v>
      </x:c>
      <x:c r="H13" s="188" t="str">
        <x:v>Franchise Timeline</x:v>
      </x:c>
      <x:c r="I13" s="188"/>
      <x:c r="J13" s="188"/>
      <x:c r="K13" s="188"/>
      <x:c r="L13" s="188"/>
      <x:c r="M13" s="188"/>
      <x:c r="N13" s="188"/>
      <x:c r="P13" s="194" t="str">
        <x:v>Kerala</x:v>
      </x:c>
      <x:c r="Q13" s="194" t="n">
        <x:v>55</x:v>
      </x:c>
      <x:c r="R13" s="194"/>
      <x:c r="S13" s="194"/>
      <x:c r="T13" s="194"/>
      <x:c r="U13" s="194"/>
      <x:c r="V13" s="194"/>
      <x:c r="W13" s="194"/>
      <x:c r="X13" s="194"/>
    </x:row>
    <x:row r="14" ht="20" customHeight="1">
      <x:c r="A14" s="182" t="str">
        <x:v>The Beginning</x:v>
      </x:c>
      <x:c r="B14" s="183" t="n">
        <x:v>180</x:v>
      </x:c>
      <x:c r="C14" s="183" t="n">
        <x:v>650</x:v>
      </x:c>
      <x:c r="D14" s="183" t="n">
        <x:v>516</x:v>
      </x:c>
      <x:c r="E14" s="183" t="n">
        <x:v>134</x:v>
      </x:c>
      <x:c r="F14" s="184" t="n">
        <x:v>3.61</x:v>
      </x:c>
      <x:c r="H14" s="189" t="str">
        <x:v>Year</x:v>
      </x:c>
      <x:c r="I14" s="189" t="str">
        <x:v>Event</x:v>
      </x:c>
      <x:c r="J14" s="189" t="str">
        <x:v>Market Story</x:v>
      </x:c>
      <x:c r="K14" s="189"/>
      <x:c r="L14" s="189"/>
      <x:c r="M14" s="189"/>
      <x:c r="N14" s="189"/>
      <x:c r="P14" s="194"/>
      <x:c r="Q14" s="194"/>
      <x:c r="R14" s="194"/>
      <x:c r="S14" s="194"/>
      <x:c r="T14" s="194"/>
      <x:c r="U14" s="194"/>
      <x:c r="V14" s="194"/>
      <x:c r="W14" s="194"/>
      <x:c r="X14" s="194"/>
    </x:row>
    <x:row r="15" ht="20" customHeight="1">
      <x:c r="A15" s="182" t="str">
        <x:v>The Conclusion</x:v>
      </x:c>
      <x:c r="B15" s="183" t="n">
        <x:v>250</x:v>
      </x:c>
      <x:c r="C15" s="183" t="n">
        <x:v>1788.06</x:v>
      </x:c>
      <x:c r="D15" s="183" t="n">
        <x:v>1416.9</x:v>
      </x:c>
      <x:c r="E15" s="183" t="n">
        <x:v>371.16</x:v>
      </x:c>
      <x:c r="F15" s="184" t="n">
        <x:v>7.15</x:v>
      </x:c>
      <x:c r="H15" s="182" t="n">
        <x:v>2015</x:v>
      </x:c>
      <x:c r="I15" s="182" t="str">
        <x:v>The Beginning</x:v>
      </x:c>
      <x:c r="J15" s="182" t="str">
        <x:v>Pan-India foundation</x:v>
      </x:c>
      <x:c r="K15" s="182"/>
      <x:c r="L15" s="182"/>
      <x:c r="M15" s="182"/>
      <x:c r="N15" s="182"/>
      <x:c r="P15" s="194"/>
      <x:c r="Q15" s="194"/>
      <x:c r="R15" s="194"/>
      <x:c r="S15" s="194"/>
      <x:c r="T15" s="194"/>
      <x:c r="U15" s="194"/>
      <x:c r="V15" s="194"/>
      <x:c r="W15" s="194"/>
      <x:c r="X15" s="194"/>
    </x:row>
    <x:row r="16" ht="20" customHeight="1">
      <x:c r="A16" s="182" t="str">
        <x:v>The Epic</x:v>
      </x:c>
      <x:c r="B16" s="183" t="str">
        <x:v>N/A</x:v>
      </x:c>
      <x:c r="C16" s="183" t="n">
        <x:v>52.15</x:v>
      </x:c>
      <x:c r="D16" s="183" t="n">
        <x:v>39.9</x:v>
      </x:c>
      <x:c r="E16" s="183" t="n">
        <x:v>12.25</x:v>
      </x:c>
      <x:c r="F16" s="184" t="str">
        <x:v>N/A</x:v>
      </x:c>
      <x:c r="H16" s="182" t="n">
        <x:v>2017</x:v>
      </x:c>
      <x:c r="I16" s="182" t="str">
        <x:v>The Conclusion</x:v>
      </x:c>
      <x:c r="J16" s="182" t="str">
        <x:v>Commercial scale-up</x:v>
      </x:c>
      <x:c r="K16" s="182"/>
      <x:c r="L16" s="182"/>
      <x:c r="M16" s="182"/>
      <x:c r="N16" s="182"/>
      <x:c r="P16" s="194"/>
      <x:c r="Q16" s="194"/>
      <x:c r="R16" s="194"/>
      <x:c r="S16" s="194"/>
      <x:c r="T16" s="194"/>
      <x:c r="U16" s="194"/>
      <x:c r="V16" s="194"/>
      <x:c r="W16" s="194"/>
      <x:c r="X16" s="194"/>
    </x:row>
    <x:row r="17">
      <x:c r="H17" s="182" t="n">
        <x:v>2025</x:v>
      </x:c>
      <x:c r="I17" s="182" t="str">
        <x:v>The Epic</x:v>
      </x:c>
      <x:c r="J17" s="182" t="str">
        <x:v>Re-release demand</x:v>
      </x:c>
      <x:c r="K17" s="182"/>
      <x:c r="L17" s="182"/>
      <x:c r="M17" s="182"/>
      <x:c r="N17" s="182"/>
      <x:c r="P17" s="194"/>
      <x:c r="Q17" s="194"/>
      <x:c r="R17" s="194"/>
      <x:c r="S17" s="194"/>
      <x:c r="T17" s="194"/>
      <x:c r="U17" s="194"/>
      <x:c r="V17" s="194"/>
      <x:c r="W17" s="194"/>
      <x:c r="X17" s="194"/>
    </x:row>
    <x:row r="18">
      <x:c r="H18" s="182" t="n">
        <x:v>2026</x:v>
      </x:c>
      <x:c r="I18" s="182" t="str">
        <x:v>Torchbearer</x:v>
      </x:c>
      <x:c r="J18" s="182" t="str">
        <x:v>OTT revival signal</x:v>
      </x:c>
      <x:c r="K18" s="182"/>
      <x:c r="L18" s="182"/>
      <x:c r="M18" s="182"/>
      <x:c r="N18" s="182"/>
      <x:c r="P18" s="194"/>
      <x:c r="Q18" s="194"/>
      <x:c r="R18" s="194"/>
      <x:c r="S18" s="194"/>
      <x:c r="T18" s="194"/>
      <x:c r="U18" s="194"/>
      <x:c r="V18" s="194"/>
      <x:c r="W18" s="194"/>
      <x:c r="X18" s="194"/>
    </x:row>
    <x:row r="19">
      <x:c r="P19" s="194"/>
      <x:c r="Q19" s="194"/>
      <x:c r="R19" s="194"/>
      <x:c r="S19" s="194"/>
      <x:c r="T19" s="194"/>
      <x:c r="U19" s="194"/>
      <x:c r="V19" s="194"/>
      <x:c r="W19" s="194"/>
      <x:c r="X19" s="194"/>
    </x:row>
    <x:row r="20">
      <x:c r="P20" s="194"/>
      <x:c r="Q20" s="194"/>
      <x:c r="R20" s="194"/>
      <x:c r="S20" s="194"/>
      <x:c r="T20" s="194"/>
      <x:c r="U20" s="194"/>
      <x:c r="V20" s="194"/>
      <x:c r="W20" s="194"/>
      <x:c r="X20" s="194"/>
    </x:row>
    <x:row r="21">
      <x:c r="P21" s="194"/>
      <x:c r="Q21" s="194"/>
      <x:c r="R21" s="194"/>
      <x:c r="S21" s="194"/>
      <x:c r="T21" s="194"/>
      <x:c r="U21" s="194"/>
      <x:c r="V21" s="194"/>
      <x:c r="W21" s="194"/>
      <x:c r="X21" s="194"/>
    </x:row>
    <x:row r="22">
      <x:c r="P22" s="194"/>
      <x:c r="Q22" s="194"/>
      <x:c r="R22" s="194"/>
      <x:c r="S22" s="194"/>
      <x:c r="T22" s="194"/>
      <x:c r="U22" s="194"/>
      <x:c r="V22" s="194"/>
      <x:c r="W22" s="194"/>
      <x:c r="X22" s="194"/>
    </x:row>
    <x:row r="23">
      <x:c r="P23" s="194"/>
      <x:c r="Q23" s="194"/>
      <x:c r="R23" s="194"/>
      <x:c r="S23" s="194"/>
      <x:c r="T23" s="194"/>
      <x:c r="U23" s="194"/>
      <x:c r="V23" s="194"/>
      <x:c r="W23" s="194"/>
      <x:c r="X23" s="194"/>
    </x:row>
    <x:row r="24">
      <x:c r="P24" s="194"/>
      <x:c r="Q24" s="194"/>
      <x:c r="R24" s="194"/>
      <x:c r="S24" s="194"/>
      <x:c r="T24" s="194"/>
      <x:c r="U24" s="194"/>
      <x:c r="V24" s="194"/>
      <x:c r="W24" s="194"/>
      <x:c r="X24" s="194"/>
    </x:row>
    <x:row r="25">
      <x:c r="P25" s="194"/>
      <x:c r="Q25" s="194"/>
      <x:c r="R25" s="194"/>
      <x:c r="S25" s="194"/>
      <x:c r="T25" s="194"/>
      <x:c r="U25" s="194"/>
      <x:c r="V25" s="194"/>
      <x:c r="W25" s="194"/>
      <x:c r="X25" s="194"/>
    </x:row>
    <x:row r="26">
      <x:c r="P26" s="194"/>
      <x:c r="Q26" s="194"/>
      <x:c r="R26" s="194"/>
      <x:c r="S26" s="194"/>
      <x:c r="T26" s="194"/>
      <x:c r="U26" s="194"/>
      <x:c r="V26" s="194"/>
      <x:c r="W26" s="194"/>
      <x:c r="X26" s="194"/>
    </x:row>
    <x:row r="27">
      <x:c r="P27" s="194"/>
      <x:c r="Q27" s="194"/>
      <x:c r="R27" s="194"/>
      <x:c r="S27" s="194"/>
      <x:c r="T27" s="194"/>
      <x:c r="U27" s="194"/>
      <x:c r="V27" s="194"/>
      <x:c r="W27" s="194"/>
      <x:c r="X27" s="194"/>
    </x:row>
    <x:row r="28">
      <x:c r="P28" s="194"/>
      <x:c r="Q28" s="194"/>
      <x:c r="R28" s="194"/>
      <x:c r="S28" s="194"/>
      <x:c r="T28" s="194"/>
      <x:c r="U28" s="194"/>
      <x:c r="V28" s="194"/>
      <x:c r="W28" s="194"/>
      <x:c r="X28" s="194"/>
    </x:row>
    <x:row r="29">
      <x:c r="P29" s="194"/>
      <x:c r="Q29" s="194"/>
      <x:c r="R29" s="194"/>
      <x:c r="S29" s="194"/>
      <x:c r="T29" s="194"/>
      <x:c r="U29" s="194"/>
      <x:c r="V29" s="194"/>
      <x:c r="W29" s="194"/>
      <x:c r="X29" s="194"/>
    </x:row>
    <x:row r="30">
      <x:c r="P30" s="194"/>
      <x:c r="Q30" s="194"/>
      <x:c r="R30" s="194"/>
      <x:c r="S30" s="194"/>
      <x:c r="T30" s="194"/>
      <x:c r="U30" s="194"/>
      <x:c r="V30" s="194"/>
      <x:c r="W30" s="194"/>
      <x:c r="X30" s="194"/>
    </x:row>
    <x:row r="31">
      <x:c r="P31" s="194"/>
      <x:c r="Q31" s="194"/>
      <x:c r="R31" s="194"/>
      <x:c r="S31" s="194"/>
      <x:c r="T31" s="194"/>
      <x:c r="U31" s="194"/>
      <x:c r="V31" s="194"/>
      <x:c r="W31" s="194"/>
      <x:c r="X31" s="194"/>
    </x:row>
    <x:row r="32">
      <x:c r="P32" s="194"/>
      <x:c r="Q32" s="194"/>
      <x:c r="R32" s="194"/>
      <x:c r="S32" s="194"/>
      <x:c r="T32" s="194"/>
      <x:c r="U32" s="194"/>
      <x:c r="V32" s="194"/>
      <x:c r="W32" s="194"/>
      <x:c r="X32" s="194"/>
    </x:row>
    <x:row r="33">
      <x:c r="P33" s="194"/>
      <x:c r="Q33" s="194"/>
      <x:c r="R33" s="194"/>
      <x:c r="S33" s="194"/>
      <x:c r="T33" s="194"/>
      <x:c r="U33" s="194"/>
      <x:c r="V33" s="194"/>
      <x:c r="W33" s="194"/>
      <x:c r="X33" s="194"/>
    </x:row>
    <x:row r="34" ht="22" customHeight="1">
      <x:c r="A34" s="170" t="str">
        <x:v>BB2 30-Day Domestic Nett - Territory Snapshot</x:v>
      </x:c>
      <x:c r="B34" s="170"/>
      <x:c r="C34" s="170"/>
      <x:c r="D34" s="170"/>
      <x:c r="E34" s="170"/>
      <x:c r="F34" s="170"/>
      <x:c r="H34" s="170" t="str">
        <x:v>OTT / Franchise Revival Signals</x:v>
      </x:c>
      <x:c r="I34" s="170"/>
      <x:c r="J34" s="170"/>
      <x:c r="K34" s="170"/>
      <x:c r="L34" s="170"/>
      <x:c r="M34" s="170"/>
      <x:c r="N34" s="170"/>
      <x:c r="P34" s="194"/>
      <x:c r="Q34" s="194"/>
      <x:c r="R34" s="194"/>
      <x:c r="S34" s="194"/>
      <x:c r="T34" s="194"/>
      <x:c r="U34" s="194"/>
      <x:c r="V34" s="194"/>
      <x:c r="W34" s="194"/>
      <x:c r="X34" s="194"/>
    </x:row>
    <x:row r="35" ht="22" customHeight="1">
      <x:c r="A35" s="178" t="str">
        <x:v>Territory / Segment</x:v>
      </x:c>
      <x:c r="B35" s="178" t="str">
        <x:v>BB2 30-Day Domestic Nett (₹ Cr)</x:v>
      </x:c>
      <x:c r="C35" s="178" t="str">
        <x:v>Share of 30-Day Domestic Nett</x:v>
      </x:c>
      <x:c r="H35" s="178" t="str">
        <x:v>Signal Type</x:v>
      </x:c>
      <x:c r="I35" s="178" t="str">
        <x:v>Proxy Score</x:v>
      </x:c>
      <x:c r="J35" s="178" t="str">
        <x:v>Confidence / Note</x:v>
      </x:c>
      <x:c r="P35" s="194"/>
      <x:c r="Q35" s="194"/>
      <x:c r="R35" s="194"/>
      <x:c r="S35" s="194"/>
      <x:c r="T35" s="194"/>
      <x:c r="U35" s="194"/>
      <x:c r="V35" s="194"/>
      <x:c r="W35" s="194"/>
      <x:c r="X35" s="194"/>
    </x:row>
    <x:row r="36" ht="22" customHeight="1">
      <x:c r="A36" s="182" t="str">
        <x:v>Hindi version</x:v>
      </x:c>
      <x:c r="B36" s="185" t="n">
        <x:v>490</x:v>
      </x:c>
      <x:c r="C36" s="186" t="n">
        <x:v>0.4897551224387806</x:v>
      </x:c>
      <x:c r="H36" s="182" t="str">
        <x:v>Release anticipation</x:v>
      </x:c>
      <x:c r="I36" s="187" t="n">
        <x:v>82</x:v>
      </x:c>
      <x:c r="J36" s="182" t="str">
        <x:v>Medium - media proxy</x:v>
      </x:c>
      <x:c r="P36" s="194"/>
      <x:c r="Q36" s="194"/>
      <x:c r="R36" s="194"/>
      <x:c r="S36" s="194"/>
      <x:c r="T36" s="194"/>
      <x:c r="U36" s="194"/>
      <x:c r="V36" s="194"/>
      <x:c r="W36" s="194"/>
      <x:c r="X36" s="194"/>
    </x:row>
    <x:row r="37" ht="22" customHeight="1">
      <x:c r="A37" s="182" t="str">
        <x:v>Dubbed version balance</x:v>
      </x:c>
      <x:c r="B37" s="185" t="n">
        <x:v>9.5</x:v>
      </x:c>
      <x:c r="C37" s="186" t="n">
        <x:v>0.009495252373813094</x:v>
      </x:c>
      <x:c r="H37" s="182" t="str">
        <x:v>Positive fan reaction</x:v>
      </x:c>
      <x:c r="I37" s="187" t="n">
        <x:v>88</x:v>
      </x:c>
      <x:c r="J37" s="182" t="str">
        <x:v>Medium - fan coverage proxy</x:v>
      </x:c>
      <x:c r="P37" s="194"/>
      <x:c r="Q37" s="194"/>
      <x:c r="R37" s="194"/>
      <x:c r="S37" s="194"/>
      <x:c r="T37" s="194"/>
      <x:c r="U37" s="194"/>
      <x:c r="V37" s="194"/>
      <x:c r="W37" s="194"/>
      <x:c r="X37" s="194"/>
    </x:row>
    <x:row r="38" ht="22" customHeight="1">
      <x:c r="A38" s="182" t="str">
        <x:v>Nizam &amp; Andhra Pradesh</x:v>
      </x:c>
      <x:c r="B38" s="185" t="n">
        <x:v>265</x:v>
      </x:c>
      <x:c r="C38" s="186" t="n">
        <x:v>0.26486756621689156</x:v>
      </x:c>
      <x:c r="H38" s="182" t="str">
        <x:v>Baahubali 3 speculation</x:v>
      </x:c>
      <x:c r="I38" s="187" t="n">
        <x:v>92</x:v>
      </x:c>
      <x:c r="J38" s="182" t="str">
        <x:v>Medium - speculation, not official announcement</x:v>
      </x:c>
      <x:c r="P38" s="194"/>
      <x:c r="Q38" s="194"/>
      <x:c r="R38" s="194"/>
      <x:c r="S38" s="194"/>
      <x:c r="T38" s="194"/>
      <x:c r="U38" s="194"/>
      <x:c r="V38" s="194"/>
      <x:c r="W38" s="194"/>
      <x:c r="X38" s="194"/>
    </x:row>
    <x:row r="39" ht="22" customHeight="1">
      <x:c r="A39" s="182" t="str">
        <x:v>Karnataka &amp; Mysore</x:v>
      </x:c>
      <x:c r="B39" s="185" t="n">
        <x:v>77</x:v>
      </x:c>
      <x:c r="C39" s="186" t="n">
        <x:v>0.0769615192403798</x:v>
      </x:c>
      <x:c r="H39" s="182" t="str">
        <x:v>Re-release demand</x:v>
      </x:c>
      <x:c r="I39" s="187" t="n">
        <x:v>80</x:v>
      </x:c>
      <x:c r="J39" s="182" t="str">
        <x:v>High - box-office proxy</x:v>
      </x:c>
      <x:c r="P39" s="194"/>
      <x:c r="Q39" s="194"/>
      <x:c r="R39" s="194"/>
      <x:c r="S39" s="194"/>
      <x:c r="T39" s="194"/>
      <x:c r="U39" s="194"/>
      <x:c r="V39" s="194"/>
      <x:c r="W39" s="194"/>
      <x:c r="X39" s="194"/>
    </x:row>
    <x:row r="40" ht="22" customHeight="1">
      <x:c r="A40" s="182" t="str">
        <x:v>Tamil Nadu</x:v>
      </x:c>
      <x:c r="B40" s="185" t="n">
        <x:v>104</x:v>
      </x:c>
      <x:c r="C40" s="186" t="n">
        <x:v>0.10394802598700649</x:v>
      </x:c>
      <x:c r="P40" s="194"/>
      <x:c r="Q40" s="194"/>
      <x:c r="R40" s="194"/>
      <x:c r="S40" s="194"/>
      <x:c r="T40" s="194"/>
      <x:c r="U40" s="194"/>
      <x:c r="V40" s="194"/>
      <x:c r="W40" s="194"/>
      <x:c r="X40" s="194"/>
    </x:row>
    <x:row r="41" ht="22" customHeight="1">
      <x:c r="A41" s="182" t="str">
        <x:v>Kerala</x:v>
      </x:c>
      <x:c r="B41" s="185" t="n">
        <x:v>55</x:v>
      </x:c>
      <x:c r="C41" s="186" t="n">
        <x:v>0.054972513743128434</x:v>
      </x:c>
      <x:c r="P41" s="194"/>
      <x:c r="Q41" s="194"/>
      <x:c r="R41" s="194"/>
      <x:c r="S41" s="194"/>
      <x:c r="T41" s="194"/>
      <x:c r="U41" s="194"/>
      <x:c r="V41" s="194"/>
      <x:c r="W41" s="194"/>
      <x:c r="X41" s="194"/>
    </x:row>
    <x:row r="42" ht="22" customHeight="1">
      <x:c r="A42" s="182" t="str">
        <x:v>Reported domestic total</x:v>
      </x:c>
      <x:c r="B42" s="185" t="n">
        <x:v>1000.5</x:v>
      </x:c>
      <x:c r="C42" s="186" t="n">
        <x:v>1</x:v>
      </x:c>
      <x:c r="P42" s="194"/>
      <x:c r="Q42" s="194"/>
      <x:c r="R42" s="194"/>
      <x:c r="S42" s="194"/>
      <x:c r="T42" s="194"/>
      <x:c r="U42" s="194"/>
      <x:c r="V42" s="194"/>
      <x:c r="W42" s="194"/>
      <x:c r="X42" s="194"/>
    </x:row>
    <x:row r="43" ht="22" customHeight="1">
      <x:c r="A43" s="182"/>
      <x:c r="B43" s="185"/>
      <x:c r="C43" s="186"/>
      <x:c r="P43" s="194"/>
      <x:c r="Q43" s="194"/>
      <x:c r="R43" s="194"/>
      <x:c r="S43" s="194"/>
      <x:c r="T43" s="194"/>
      <x:c r="U43" s="194"/>
      <x:c r="V43" s="194"/>
      <x:c r="W43" s="194"/>
      <x:c r="X43" s="194"/>
    </x:row>
    <x:row r="44">
      <x:c r="P44" s="194"/>
      <x:c r="Q44" s="194"/>
      <x:c r="R44" s="194"/>
      <x:c r="S44" s="194"/>
      <x:c r="T44" s="194"/>
      <x:c r="U44" s="194"/>
      <x:c r="V44" s="194"/>
      <x:c r="W44" s="194"/>
      <x:c r="X44" s="194"/>
    </x:row>
    <x:row r="45">
      <x:c r="P45" s="194"/>
      <x:c r="Q45" s="194"/>
      <x:c r="R45" s="194"/>
      <x:c r="S45" s="194"/>
      <x:c r="T45" s="194"/>
      <x:c r="U45" s="194"/>
      <x:c r="V45" s="194"/>
      <x:c r="W45" s="194"/>
      <x:c r="X45" s="194"/>
    </x:row>
    <x:row r="46">
      <x:c r="P46" s="194"/>
      <x:c r="Q46" s="194"/>
      <x:c r="R46" s="194"/>
      <x:c r="S46" s="194"/>
      <x:c r="T46" s="194"/>
      <x:c r="U46" s="194"/>
      <x:c r="V46" s="194"/>
      <x:c r="W46" s="194"/>
      <x:c r="X46" s="194"/>
    </x:row>
    <x:row r="47">
      <x:c r="P47" s="194"/>
      <x:c r="Q47" s="194"/>
      <x:c r="R47" s="194"/>
      <x:c r="S47" s="194"/>
      <x:c r="T47" s="194"/>
      <x:c r="U47" s="194"/>
      <x:c r="V47" s="194"/>
      <x:c r="W47" s="194"/>
      <x:c r="X47" s="194"/>
    </x:row>
    <x:row r="48">
      <x:c r="P48" s="194"/>
      <x:c r="Q48" s="194"/>
      <x:c r="R48" s="194"/>
      <x:c r="S48" s="194"/>
      <x:c r="T48" s="194"/>
      <x:c r="U48" s="194"/>
      <x:c r="V48" s="194"/>
      <x:c r="W48" s="194"/>
      <x:c r="X48" s="194"/>
    </x:row>
    <x:row r="49">
      <x:c r="P49" s="194"/>
      <x:c r="Q49" s="194"/>
      <x:c r="R49" s="194"/>
      <x:c r="S49" s="194"/>
      <x:c r="T49" s="194"/>
      <x:c r="U49" s="194"/>
      <x:c r="V49" s="194"/>
      <x:c r="W49" s="194"/>
      <x:c r="X49" s="194"/>
    </x:row>
    <x:row r="50">
      <x:c r="P50" s="194"/>
      <x:c r="Q50" s="194"/>
      <x:c r="R50" s="194"/>
      <x:c r="S50" s="194"/>
      <x:c r="T50" s="194"/>
      <x:c r="U50" s="194"/>
      <x:c r="V50" s="194"/>
      <x:c r="W50" s="194"/>
      <x:c r="X50" s="194"/>
    </x:row>
    <x:row r="51">
      <x:c r="P51" s="194"/>
      <x:c r="Q51" s="194"/>
      <x:c r="R51" s="194"/>
      <x:c r="S51" s="194"/>
      <x:c r="T51" s="194"/>
      <x:c r="U51" s="194"/>
      <x:c r="V51" s="194"/>
      <x:c r="W51" s="194"/>
      <x:c r="X51" s="194"/>
    </x:row>
    <x:row r="52">
      <x:c r="P52" s="194"/>
      <x:c r="Q52" s="194"/>
      <x:c r="R52" s="194"/>
      <x:c r="S52" s="194"/>
      <x:c r="T52" s="194"/>
      <x:c r="U52" s="194"/>
      <x:c r="V52" s="194"/>
      <x:c r="W52" s="194"/>
      <x:c r="X52" s="194"/>
    </x:row>
    <x:row r="53">
      <x:c r="P53" s="194"/>
      <x:c r="Q53" s="194"/>
      <x:c r="R53" s="194"/>
      <x:c r="S53" s="194"/>
      <x:c r="T53" s="194"/>
      <x:c r="U53" s="194"/>
      <x:c r="V53" s="194"/>
      <x:c r="W53" s="194"/>
      <x:c r="X53" s="194"/>
    </x:row>
    <x:row r="54">
      <x:c r="P54" s="194"/>
      <x:c r="Q54" s="194"/>
      <x:c r="R54" s="194"/>
      <x:c r="S54" s="194"/>
      <x:c r="T54" s="194"/>
      <x:c r="U54" s="194"/>
      <x:c r="V54" s="194"/>
      <x:c r="W54" s="194"/>
      <x:c r="X54" s="194"/>
    </x:row>
    <x:row r="55">
      <x:c r="P55" s="194"/>
      <x:c r="Q55" s="194"/>
      <x:c r="R55" s="194"/>
      <x:c r="S55" s="194"/>
      <x:c r="T55" s="194"/>
      <x:c r="U55" s="194"/>
      <x:c r="V55" s="194"/>
      <x:c r="W55" s="194"/>
      <x:c r="X55" s="194"/>
    </x:row>
    <x:row r="56" ht="22" customHeight="1">
      <x:c r="A56" s="170" t="str">
        <x:v>Data Integrity Notes</x:v>
      </x:c>
      <x:c r="B56" s="170"/>
      <x:c r="C56" s="170"/>
      <x:c r="D56" s="170"/>
      <x:c r="E56" s="170"/>
      <x:c r="F56" s="170"/>
      <x:c r="G56" s="170"/>
      <x:c r="H56" s="170"/>
      <x:c r="I56" s="170"/>
      <x:c r="J56" s="170"/>
      <x:c r="K56" s="170"/>
      <x:c r="L56" s="170"/>
      <x:c r="M56" s="170"/>
      <x:c r="N56" s="170"/>
      <x:c r="P56" s="194"/>
      <x:c r="Q56" s="194"/>
      <x:c r="R56" s="194"/>
      <x:c r="S56" s="194"/>
      <x:c r="T56" s="194"/>
      <x:c r="U56" s="194"/>
      <x:c r="V56" s="194"/>
      <x:c r="W56" s="194"/>
      <x:c r="X56" s="194"/>
    </x:row>
    <x:row r="57" ht="54" customHeight="1">
      <x:c r="A57" t="str">
        <x:v>Precision controls: (1) Worldwide gross uses the tracked film table. (2) Known budget includes only BB1 and BB2 because The Epic re-release and Torchbearer budgets are not reliably public. (3) BB2 30-day territory values are domestic nett, not worldwide gross. (4) OTT and buzz figures are proxy/qualitative indicators only; no Netflix private viewership or unverified social volume is fabricated.</x:v>
      </x:c>
      <x:c r="P57" s="194"/>
      <x:c r="Q57" s="194"/>
      <x:c r="R57" s="194"/>
      <x:c r="S57" s="194"/>
      <x:c r="T57" s="194"/>
      <x:c r="U57" s="194"/>
      <x:c r="V57" s="194"/>
      <x:c r="W57" s="194"/>
      <x:c r="X57" s="194"/>
    </x:row>
    <x:row r="58" ht="54" customHeight="1">
      <x:c r="P58" s="194"/>
      <x:c r="Q58" s="194"/>
      <x:c r="R58" s="194"/>
      <x:c r="S58" s="194"/>
      <x:c r="T58" s="194"/>
      <x:c r="U58" s="194"/>
      <x:c r="V58" s="194"/>
      <x:c r="W58" s="194"/>
      <x:c r="X58" s="194"/>
    </x:row>
    <x:row r="59" ht="54" customHeight="1">
      <x:c r="P59" s="194"/>
      <x:c r="Q59" s="194"/>
      <x:c r="R59" s="194"/>
      <x:c r="S59" s="194"/>
      <x:c r="T59" s="194"/>
      <x:c r="U59" s="194"/>
      <x:c r="V59" s="194"/>
      <x:c r="W59" s="194"/>
      <x:c r="X59" s="194"/>
    </x:row>
    <x:row r="60" ht="54" customHeight="1">
      <x:c r="P60" s="194"/>
      <x:c r="Q60" s="194"/>
      <x:c r="R60" s="194"/>
      <x:c r="S60" s="194"/>
      <x:c r="T60" s="194"/>
      <x:c r="U60" s="194"/>
      <x:c r="V60" s="194"/>
      <x:c r="W60" s="194"/>
      <x:c r="X60" s="194"/>
    </x:row>
  </x:sheetData>
  <x:mergeCells>
    <x:mergeCell ref="A1:N1"/>
    <x:mergeCell ref="A2:N2"/>
    <x:mergeCell ref="A4:B4"/>
    <x:mergeCell ref="A5:B5"/>
    <x:mergeCell ref="A6:B6"/>
    <x:mergeCell ref="C4:D4"/>
    <x:mergeCell ref="C5:D5"/>
    <x:mergeCell ref="C6:D6"/>
    <x:mergeCell ref="E4:F4"/>
    <x:mergeCell ref="E5:F5"/>
    <x:mergeCell ref="E6:F6"/>
    <x:mergeCell ref="G4:H4"/>
    <x:mergeCell ref="G5:H5"/>
    <x:mergeCell ref="G6:H6"/>
    <x:mergeCell ref="I4:J4"/>
    <x:mergeCell ref="I5:J5"/>
    <x:mergeCell ref="I6:J6"/>
    <x:mergeCell ref="K4:N4"/>
    <x:mergeCell ref="K5:N5"/>
    <x:mergeCell ref="K6:N6"/>
    <x:mergeCell ref="A8:N8"/>
    <x:mergeCell ref="A12:F12"/>
    <x:mergeCell ref="H12:N12"/>
    <x:mergeCell ref="A34:F34"/>
    <x:mergeCell ref="H34:N34"/>
    <x:mergeCell ref="A56:N56"/>
    <x:mergeCell ref="A9:N11"/>
    <x:mergeCell ref="A57:N60"/>
    <x:mergeCell ref="H13:N13"/>
    <x:mergeCell ref="J14:N14"/>
    <x:mergeCell ref="J15:N15"/>
    <x:mergeCell ref="J16:N16"/>
    <x:mergeCell ref="J17:N17"/>
    <x:mergeCell ref="J18:N18"/>
  </x:mergeCells>
  <x:pageMargins left="0.7" right="0.7" top="0.75" bottom="0.75" header="0.3" footer="0.3"/>
  <x:drawing xmlns:r="http://schemas.openxmlformats.org/officeDocument/2006/relationships" r:id="R6da2d998e06b45b6"/>
</x:worksheet>
</file>